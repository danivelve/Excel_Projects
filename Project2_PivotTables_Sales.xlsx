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D:\Env't\Video_Tution\Udemy\Data_Analysis\Excel_Projects\"/>
    </mc:Choice>
  </mc:AlternateContent>
  <xr:revisionPtr revIDLastSave="0" documentId="13_ncr:1_{E9DB630F-3E27-4A99-9710-A94786BAA04D}" xr6:coauthVersionLast="47" xr6:coauthVersionMax="47" xr10:uidLastSave="{00000000-0000-0000-0000-000000000000}"/>
  <bookViews>
    <workbookView xWindow="-98" yWindow="-98" windowWidth="24196" windowHeight="14476" tabRatio="743" activeTab="1" xr2:uid="{F7EB8B45-8F93-4DDF-81FD-2951E9FFEE63}"/>
  </bookViews>
  <sheets>
    <sheet name="Cover" sheetId="4" r:id="rId1"/>
    <sheet name="Dashboard" sheetId="15" r:id="rId2"/>
    <sheet name="Raw Data" sheetId="1" r:id="rId3"/>
    <sheet name="Sales by Salesperson" sheetId="9" r:id="rId4"/>
    <sheet name="Sales by Month" sheetId="11" r:id="rId5"/>
    <sheet name="Sales by Region" sheetId="12" r:id="rId6"/>
    <sheet name="Sales by Product" sheetId="13" r:id="rId7"/>
    <sheet name="Sales by Customer" sheetId="14" r:id="rId8"/>
    <sheet name="Count" sheetId="18" r:id="rId9"/>
    <sheet name="Sheet9" sheetId="17" state="veryHidden" r:id="rId10"/>
  </sheets>
  <externalReferences>
    <externalReference r:id="rId11"/>
  </externalReferences>
  <definedNames>
    <definedName name="_xlnm._FilterDatabase" localSheetId="2" hidden="1">'Raw Data'!$A$3:$F$912</definedName>
    <definedName name="Exchange_rate">#REF!</definedName>
    <definedName name="Figures">#REF!</definedName>
    <definedName name="Grading_Scheme">'[1]Approx. Match VLookup'!$H$4:$J$9</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41452.4259490741</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ativeTimeline_Date">#N/A</definedName>
    <definedName name="_xlnm.Print_Area" localSheetId="2">'Raw Data'!$I$3:$K$16</definedName>
    <definedName name="Slicer_Region">#N/A</definedName>
  </definedNames>
  <calcPr calcId="191029"/>
  <pivotCaches>
    <pivotCache cacheId="16"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15" l="1"/>
  <c r="A19" i="15"/>
  <c r="H5" i="18"/>
  <c r="H4" i="18"/>
  <c r="C2" i="15"/>
  <c r="G2" i="15"/>
  <c r="N9" i="18"/>
  <c r="N10" i="18"/>
  <c r="N11" i="18"/>
  <c r="N12" i="18"/>
  <c r="N13" i="18"/>
  <c r="N14" i="18"/>
  <c r="N15" i="18"/>
  <c r="N16" i="18"/>
  <c r="N17" i="18"/>
  <c r="N18" i="18"/>
  <c r="N19" i="18"/>
  <c r="N20" i="18"/>
  <c r="N21" i="18"/>
  <c r="N8" i="18"/>
  <c r="N7" i="18"/>
  <c r="N6" i="18"/>
  <c r="N5" i="18"/>
  <c r="N4" i="18"/>
  <c r="H6" i="18"/>
  <c r="H7" i="18"/>
  <c r="H8" i="18"/>
  <c r="H9" i="18"/>
  <c r="H10" i="18"/>
  <c r="H11" i="18"/>
  <c r="H12" i="18"/>
  <c r="H13" i="18"/>
  <c r="H14" i="18"/>
  <c r="H15" i="18"/>
  <c r="H16" i="18"/>
  <c r="H17" i="18"/>
  <c r="H18" i="18"/>
  <c r="H19" i="18"/>
  <c r="A13" i="15"/>
  <c r="H3" i="18" l="1"/>
  <c r="N3" i="18"/>
  <c r="A25" i="15" s="1"/>
</calcChain>
</file>

<file path=xl/sharedStrings.xml><?xml version="1.0" encoding="utf-8"?>
<sst xmlns="http://schemas.openxmlformats.org/spreadsheetml/2006/main" count="3726" uniqueCount="58">
  <si>
    <t>Salesperson</t>
  </si>
  <si>
    <t>Product Category</t>
  </si>
  <si>
    <t>Region</t>
  </si>
  <si>
    <t>Customer</t>
  </si>
  <si>
    <t>Date</t>
  </si>
  <si>
    <t>Stuart, Jill</t>
  </si>
  <si>
    <t xml:space="preserve">Vegetarian Dishes </t>
  </si>
  <si>
    <t>Elton John</t>
  </si>
  <si>
    <t>Fog, Londong</t>
  </si>
  <si>
    <t xml:space="preserve">Fish Meals </t>
  </si>
  <si>
    <t>Kwaku Mason</t>
  </si>
  <si>
    <t>Haveria, Luiz</t>
  </si>
  <si>
    <t>Seafood</t>
  </si>
  <si>
    <t>Clifford Quist</t>
  </si>
  <si>
    <t>Beef Meals</t>
  </si>
  <si>
    <t>Hines, Zach</t>
  </si>
  <si>
    <t>Read, Tira</t>
  </si>
  <si>
    <t>Pasta Dishes</t>
  </si>
  <si>
    <t>Smith, Bob</t>
  </si>
  <si>
    <t>Tall, Liz</t>
  </si>
  <si>
    <t>Temple, Cheryl</t>
  </si>
  <si>
    <t>Fisher Mills</t>
  </si>
  <si>
    <t>Dede, Amakye</t>
  </si>
  <si>
    <t>Barkley, Ross</t>
  </si>
  <si>
    <t>Sharon Sticks</t>
  </si>
  <si>
    <t>Azpilecueta, Moses</t>
  </si>
  <si>
    <t>Milner, James</t>
  </si>
  <si>
    <t>Sales (USD)</t>
  </si>
  <si>
    <r>
      <t xml:space="preserve">I count him braver who overcomes his desires than him who conquers his enemies, for the hardest victory is over self. </t>
    </r>
    <r>
      <rPr>
        <sz val="11"/>
        <color theme="1"/>
        <rFont val="Georgia"/>
        <family val="1"/>
      </rPr>
      <t>- Aristotle</t>
    </r>
  </si>
  <si>
    <t>North</t>
  </si>
  <si>
    <t>South</t>
  </si>
  <si>
    <t>West</t>
  </si>
  <si>
    <t>East</t>
  </si>
  <si>
    <t>Sum of Sales (USD)</t>
  </si>
  <si>
    <t>Grand Total</t>
  </si>
  <si>
    <t>Jan</t>
  </si>
  <si>
    <t>Feb</t>
  </si>
  <si>
    <t>Mar</t>
  </si>
  <si>
    <t>Apr</t>
  </si>
  <si>
    <t>May</t>
  </si>
  <si>
    <t>Jun</t>
  </si>
  <si>
    <t>Jul</t>
  </si>
  <si>
    <t>Aug</t>
  </si>
  <si>
    <t>Sep</t>
  </si>
  <si>
    <t>Oct</t>
  </si>
  <si>
    <t>Nov</t>
  </si>
  <si>
    <t>Dec</t>
  </si>
  <si>
    <t>Row Labels</t>
  </si>
  <si>
    <t>Total Revenue (USD)</t>
  </si>
  <si>
    <t>KEY HIGHLIGHTS</t>
  </si>
  <si>
    <t>Count of Sales (USD)</t>
  </si>
  <si>
    <t>No. of sales transactions</t>
  </si>
  <si>
    <t>Count of Customer</t>
  </si>
  <si>
    <t>No. of customers</t>
  </si>
  <si>
    <t>No. of products</t>
  </si>
  <si>
    <t>Sales Dashboard for 2020</t>
  </si>
  <si>
    <t>Excel Class Restaurant</t>
  </si>
  <si>
    <t>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</si>
</sst>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M&quot;"/>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theme="1"/>
      <name val="Georgia"/>
      <family val="1"/>
    </font>
    <font>
      <b/>
      <sz val="14"/>
      <color theme="1"/>
      <name val="Georgia"/>
      <family val="1"/>
    </font>
    <font>
      <b/>
      <sz val="11"/>
      <color theme="1"/>
      <name val="Georgia"/>
      <family val="1"/>
    </font>
    <font>
      <i/>
      <sz val="11"/>
      <color theme="1"/>
      <name val="Georgia"/>
      <family val="1"/>
    </font>
    <font>
      <sz val="9"/>
      <color theme="1"/>
      <name val="Segoe UI"/>
      <family val="2"/>
    </font>
    <font>
      <sz val="14"/>
      <color theme="1"/>
      <name val="Bodoni MT Black"/>
      <family val="1"/>
    </font>
    <font>
      <b/>
      <sz val="12"/>
      <color theme="1"/>
      <name val="Calibri"/>
      <family val="2"/>
      <scheme val="minor"/>
    </font>
    <font>
      <sz val="11"/>
      <color theme="0" tint="-0.499984740745262"/>
      <name val="Calibri"/>
      <family val="2"/>
      <scheme val="minor"/>
    </font>
    <font>
      <b/>
      <sz val="14"/>
      <color theme="1"/>
      <name val="Arial Black"/>
      <family val="2"/>
    </font>
  </fonts>
  <fills count="3">
    <fill>
      <patternFill patternType="none"/>
    </fill>
    <fill>
      <patternFill patternType="gray125"/>
    </fill>
    <fill>
      <patternFill patternType="solid">
        <fgColor theme="4" tint="-0.249977111117893"/>
        <bgColor indexed="64"/>
      </patternFill>
    </fill>
  </fills>
  <borders count="5">
    <border>
      <left/>
      <right/>
      <top/>
      <bottom/>
      <diagonal/>
    </border>
    <border>
      <left/>
      <right/>
      <top style="thin">
        <color indexed="64"/>
      </top>
      <bottom style="medium">
        <color indexed="64"/>
      </bottom>
      <diagonal/>
    </border>
    <border>
      <left/>
      <right/>
      <top/>
      <bottom style="medium">
        <color indexed="64"/>
      </bottom>
      <diagonal/>
    </border>
    <border>
      <left style="thin">
        <color theme="0" tint="-0.24994659260841701"/>
      </left>
      <right/>
      <top/>
      <bottom style="medium">
        <color indexed="64"/>
      </bottom>
      <diagonal/>
    </border>
    <border>
      <left style="thin">
        <color theme="0" tint="-0.24994659260841701"/>
      </left>
      <right/>
      <top/>
      <bottom/>
      <diagonal/>
    </border>
  </borders>
  <cellStyleXfs count="3">
    <xf numFmtId="0" fontId="0" fillId="0" borderId="0"/>
    <xf numFmtId="0" fontId="1" fillId="0" borderId="0"/>
    <xf numFmtId="0" fontId="8" fillId="0" borderId="0"/>
  </cellStyleXfs>
  <cellXfs count="23">
    <xf numFmtId="0" fontId="0" fillId="0" borderId="0" xfId="0"/>
    <xf numFmtId="15" fontId="0" fillId="0" borderId="0" xfId="0" applyNumberFormat="1"/>
    <xf numFmtId="0" fontId="2" fillId="0" borderId="0" xfId="0" applyFont="1"/>
    <xf numFmtId="3" fontId="0" fillId="0" borderId="0" xfId="0" applyNumberFormat="1"/>
    <xf numFmtId="0" fontId="3" fillId="0" borderId="1" xfId="0" applyFont="1" applyBorder="1"/>
    <xf numFmtId="0" fontId="4" fillId="2" borderId="0" xfId="1" applyFont="1" applyFill="1"/>
    <xf numFmtId="0" fontId="4" fillId="0" borderId="0" xfId="1" applyFont="1"/>
    <xf numFmtId="0" fontId="5" fillId="0" borderId="0" xfId="1" applyFont="1"/>
    <xf numFmtId="0" fontId="6" fillId="0" borderId="0" xfId="1" applyFont="1"/>
    <xf numFmtId="15" fontId="5" fillId="0" borderId="0" xfId="1" applyNumberFormat="1" applyFont="1"/>
    <xf numFmtId="0" fontId="7" fillId="0" borderId="0" xfId="1" applyFont="1"/>
    <xf numFmtId="0" fontId="0" fillId="0" borderId="0" xfId="0" pivotButton="1"/>
    <xf numFmtId="0" fontId="0" fillId="0" borderId="0" xfId="0" applyAlignment="1">
      <alignment horizontal="left"/>
    </xf>
    <xf numFmtId="15" fontId="0" fillId="0" borderId="0" xfId="0" applyNumberFormat="1" applyAlignment="1">
      <alignment horizontal="left"/>
    </xf>
    <xf numFmtId="164" fontId="0" fillId="0" borderId="0" xfId="0" applyNumberFormat="1"/>
    <xf numFmtId="0" fontId="0" fillId="0" borderId="2" xfId="0" applyBorder="1"/>
    <xf numFmtId="0" fontId="12" fillId="0" borderId="2" xfId="0" applyFont="1" applyBorder="1"/>
    <xf numFmtId="14" fontId="0" fillId="0" borderId="0" xfId="0" applyNumberFormat="1"/>
    <xf numFmtId="0" fontId="0" fillId="0" borderId="4" xfId="0" applyBorder="1"/>
    <xf numFmtId="0" fontId="12" fillId="0" borderId="3" xfId="0" applyFont="1" applyBorder="1"/>
    <xf numFmtId="0" fontId="11" fillId="0" borderId="0" xfId="0" applyFont="1" applyAlignment="1">
      <alignment horizontal="center"/>
    </xf>
    <xf numFmtId="3" fontId="9" fillId="0" borderId="0" xfId="0" applyNumberFormat="1" applyFont="1" applyAlignment="1">
      <alignment horizontal="center"/>
    </xf>
    <xf numFmtId="0" fontId="10" fillId="0" borderId="0" xfId="0" applyFont="1" applyAlignment="1">
      <alignment horizontal="center"/>
    </xf>
  </cellXfs>
  <cellStyles count="3">
    <cellStyle name="Normal" xfId="0" builtinId="0"/>
    <cellStyle name="Normal 2" xfId="2" xr:uid="{5A05EDDA-13FD-4FA7-BD48-233BD5991A9C}"/>
    <cellStyle name="Normal 3" xfId="1" xr:uid="{DE286D9D-FA84-4BAF-A094-A6A8A97B5CA0}"/>
  </cellStyles>
  <dxfs count="36">
    <dxf>
      <numFmt numFmtId="3" formatCode="#,##0"/>
    </dxf>
    <dxf>
      <numFmt numFmtId="165" formatCode="d\-mmm\-yy"/>
    </dxf>
    <dxf>
      <font>
        <b/>
        <i val="0"/>
        <strike val="0"/>
        <condense val="0"/>
        <extend val="0"/>
        <outline val="0"/>
        <shadow val="0"/>
        <u val="none"/>
        <vertAlign val="baseline"/>
        <sz val="11"/>
        <color theme="1"/>
        <name val="Calibri"/>
        <family val="2"/>
        <scheme val="minor"/>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8" defaultTableStyle="TableStyleMedium2" defaultPivotStyle="PivotStyleLight16">
    <tableStyle name="Timeline Style 1" pivot="0" table="0" count="8" xr9:uid="{8F7434F9-B40D-42A6-B1AA-7706F5500858}">
      <tableStyleElement type="wholeTable" dxfId="35"/>
      <tableStyleElement type="headerRow" dxfId="34"/>
    </tableStyle>
    <tableStyle name="Timeline Style 10" pivot="0" table="0" count="8" xr9:uid="{41C2D260-89EA-4ED0-8803-F153E6E08DCB}">
      <tableStyleElement type="wholeTable" dxfId="33"/>
      <tableStyleElement type="headerRow" dxfId="32"/>
    </tableStyle>
    <tableStyle name="Timeline Style 11" pivot="0" table="0" count="7" xr9:uid="{C67DCD4D-DF8F-4513-95D8-74B25FD70051}">
      <tableStyleElement type="wholeTable" dxfId="31"/>
      <tableStyleElement type="headerRow" dxfId="30"/>
    </tableStyle>
    <tableStyle name="Timeline Style 12" pivot="0" table="0" count="7" xr9:uid="{F99407E5-22E9-48D3-A510-47DB7784CD97}">
      <tableStyleElement type="headerRow" dxfId="29"/>
    </tableStyle>
    <tableStyle name="Timeline Style 13" pivot="0" table="0" count="5" xr9:uid="{77DE0CB5-D6CF-43EE-855E-2F78747D688B}">
      <tableStyleElement type="wholeTable" dxfId="28"/>
    </tableStyle>
    <tableStyle name="Timeline Style 14" pivot="0" table="0" count="8" xr9:uid="{1BC09DF8-EF4A-4E78-8408-98511BA6BEF0}">
      <tableStyleElement type="wholeTable" dxfId="27"/>
      <tableStyleElement type="headerRow" dxfId="26"/>
    </tableStyle>
    <tableStyle name="Timeline Style 15" pivot="0" table="0" count="8" xr9:uid="{1C8424E1-C1D8-4C55-AE42-E38F11EA1915}">
      <tableStyleElement type="wholeTable" dxfId="25"/>
      <tableStyleElement type="headerRow" dxfId="24"/>
    </tableStyle>
    <tableStyle name="Timeline Style 16" pivot="0" table="0" count="8" xr9:uid="{D1D1B0FF-6691-47F2-B18B-F73D91FC2839}">
      <tableStyleElement type="wholeTable" dxfId="23"/>
      <tableStyleElement type="headerRow" dxfId="22"/>
    </tableStyle>
    <tableStyle name="Timeline Style 17" pivot="0" table="0" count="8" xr9:uid="{9530E6D5-3BE6-43A1-9EF6-314768000DC6}">
      <tableStyleElement type="wholeTable" dxfId="21"/>
      <tableStyleElement type="headerRow" dxfId="20"/>
    </tableStyle>
    <tableStyle name="Timeline Style 18" pivot="0" table="0" count="8" xr9:uid="{DB6B6DDF-CCE1-45AD-8C4E-564A7349D162}">
      <tableStyleElement type="wholeTable" dxfId="19"/>
      <tableStyleElement type="headerRow" dxfId="18"/>
    </tableStyle>
    <tableStyle name="Timeline Style 2" pivot="0" table="0" count="8" xr9:uid="{1DB3F9CE-18D8-482E-90FB-1BDE7DEF7C3B}">
      <tableStyleElement type="wholeTable" dxfId="17"/>
      <tableStyleElement type="headerRow" dxfId="16"/>
    </tableStyle>
    <tableStyle name="Timeline Style 3" pivot="0" table="0" count="8" xr9:uid="{D46C4426-113C-4A25-B488-EA8D4B96872A}">
      <tableStyleElement type="wholeTable" dxfId="15"/>
      <tableStyleElement type="headerRow" dxfId="14"/>
    </tableStyle>
    <tableStyle name="Timeline Style 4" pivot="0" table="0" count="8" xr9:uid="{F9DFE552-6069-4CB6-A959-9EEEF73D5F4D}">
      <tableStyleElement type="wholeTable" dxfId="13"/>
      <tableStyleElement type="headerRow" dxfId="12"/>
    </tableStyle>
    <tableStyle name="Timeline Style 5" pivot="0" table="0" count="8" xr9:uid="{2D85A7BE-6C60-4000-9B7C-B625CE83EA2C}">
      <tableStyleElement type="wholeTable" dxfId="11"/>
      <tableStyleElement type="headerRow" dxfId="10"/>
    </tableStyle>
    <tableStyle name="Timeline Style 6" pivot="0" table="0" count="8" xr9:uid="{B40C5426-C59D-4B8B-BF49-1073077F2661}">
      <tableStyleElement type="wholeTable" dxfId="9"/>
      <tableStyleElement type="headerRow" dxfId="8"/>
    </tableStyle>
    <tableStyle name="Timeline Style 7" pivot="0" table="0" count="8" xr9:uid="{2F70B3CD-85B6-49F2-9557-2B3B6974CA36}">
      <tableStyleElement type="wholeTable" dxfId="7"/>
      <tableStyleElement type="headerRow" dxfId="6"/>
    </tableStyle>
    <tableStyle name="Timeline Style 8" pivot="0" table="0" count="8" xr9:uid="{DC50B5BA-D269-460C-9D13-E234C4C25A29}">
      <tableStyleElement type="wholeTable" dxfId="5"/>
      <tableStyleElement type="headerRow" dxfId="4"/>
    </tableStyle>
    <tableStyle name="Timeline Style 9" pivot="0" table="0" count="7" xr9:uid="{F95CDCD1-BCBA-40D1-9EA8-1D30D6C42BE8}">
      <tableStyleElement type="wholeTable" dxfId="3"/>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05">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0.149967955565050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color theme="1" tint="0.499984740745262"/>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0"/>
            <name val="Calibri"/>
            <family val="2"/>
            <scheme val="minor"/>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0"/>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4"/>
            </patternFill>
          </fill>
        </dxf>
        <dxf>
          <font>
            <sz val="9"/>
            <color theme="1" tint="0.499984740745262"/>
          </font>
        </dxf>
        <dxf>
          <font>
            <color theme="0"/>
            <name val="Calibri"/>
            <family val="2"/>
            <scheme val="minor"/>
          </font>
        </dxf>
        <dxf>
          <font>
            <color theme="1" tint="0.499984740745262"/>
            <name val="Calibri"/>
            <family val="2"/>
            <scheme val="minor"/>
          </font>
        </dxf>
        <dxf>
          <font>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4" tint="0.3999450666829432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4"/>
            <x15:timelineStyleElement type="timeLevel" dxfId="103"/>
            <x15:timelineStyleElement type="periodLabel1" dxfId="102"/>
            <x15:timelineStyleElement type="periodLabel2" dxfId="101"/>
            <x15:timelineStyleElement type="selectedTimeBlock" dxfId="100"/>
            <x15:timelineStyleElement type="unselectedTimeBlock" dxfId="99"/>
          </x15:timelineStyleElements>
        </x15:timelineStyle>
        <x15:timelineStyle name="Timeline Style 10">
          <x15:timelineStyleElements>
            <x15:timelineStyleElement type="selectionLabel" dxfId="98"/>
            <x15:timelineStyleElement type="timeLevel" dxfId="97"/>
            <x15:timelineStyleElement type="periodLabel1" dxfId="96"/>
            <x15:timelineStyleElement type="periodLabel2" dxfId="95"/>
            <x15:timelineStyleElement type="selectedTimeBlock" dxfId="94"/>
            <x15:timelineStyleElement type="unselectedTimeBlock" dxfId="93"/>
          </x15:timelineStyleElements>
        </x15:timelineStyle>
        <x15:timelineStyle name="Timeline Style 11">
          <x15:timelineStyleElements>
            <x15:timelineStyleElement type="selectionLabel" dxfId="92"/>
            <x15:timelineStyleElement type="periodLabel1" dxfId="91"/>
            <x15:timelineStyleElement type="periodLabel2" dxfId="90"/>
            <x15:timelineStyleElement type="selectedTimeBlock" dxfId="89"/>
            <x15:timelineStyleElement type="unselectedTimeBlock" dxfId="88"/>
          </x15:timelineStyleElements>
        </x15:timelineStyle>
        <x15:timelineStyle name="Timeline Style 12">
          <x15:timelineStyleElements>
            <x15:timelineStyleElement type="selectionLabel" dxfId="87"/>
            <x15:timelineStyleElement type="timeLevel" dxfId="86"/>
            <x15:timelineStyleElement type="periodLabel1" dxfId="85"/>
            <x15:timelineStyleElement type="periodLabel2" dxfId="84"/>
            <x15:timelineStyleElement type="selectedTimeBlock" dxfId="83"/>
            <x15:timelineStyleElement type="unselectedTimeBlock" dxfId="82"/>
          </x15:timelineStyleElements>
        </x15:timelineStyle>
        <x15:timelineStyle name="Timeline Style 13">
          <x15:timelineStyleElements>
            <x15:timelineStyleElement type="selectionLabel" dxfId="81"/>
            <x15:timelineStyleElement type="periodLabel1" dxfId="80"/>
            <x15:timelineStyleElement type="selectedTimeBlock" dxfId="79"/>
            <x15:timelineStyleElement type="unselectedTimeBlock" dxfId="78"/>
          </x15:timelineStyleElements>
        </x15:timelineStyle>
        <x15:timelineStyle name="Timeline Style 14">
          <x15:timelineStyleElements>
            <x15:timelineStyleElement type="selectionLabel" dxfId="77"/>
            <x15:timelineStyleElement type="timeLevel" dxfId="76"/>
            <x15:timelineStyleElement type="periodLabel1" dxfId="75"/>
            <x15:timelineStyleElement type="periodLabel2" dxfId="74"/>
            <x15:timelineStyleElement type="selectedTimeBlock" dxfId="73"/>
            <x15:timelineStyleElement type="unselectedTimeBlock" dxfId="72"/>
          </x15:timelineStyleElements>
        </x15:timelineStyle>
        <x15:timelineStyle name="Timeline Style 15">
          <x15:timelineStyleElements>
            <x15:timelineStyleElement type="selectionLabel" dxfId="71"/>
            <x15:timelineStyleElement type="timeLevel" dxfId="70"/>
            <x15:timelineStyleElement type="periodLabel1" dxfId="69"/>
            <x15:timelineStyleElement type="periodLabel2" dxfId="68"/>
            <x15:timelineStyleElement type="selectedTimeBlock" dxfId="67"/>
            <x15:timelineStyleElement type="unselectedTimeBlock" dxfId="66"/>
          </x15:timelineStyleElements>
        </x15:timelineStyle>
        <x15:timelineStyle name="Timeline Style 16">
          <x15:timelineStyleElements>
            <x15:timelineStyleElement type="selectionLabel" dxfId="65"/>
            <x15:timelineStyleElement type="timeLevel" dxfId="64"/>
            <x15:timelineStyleElement type="periodLabel1" dxfId="63"/>
            <x15:timelineStyleElement type="periodLabel2" dxfId="62"/>
            <x15:timelineStyleElement type="selectedTimeBlock" dxfId="61"/>
            <x15:timelineStyleElement type="unselectedTimeBlock" dxfId="60"/>
          </x15:timelineStyleElements>
        </x15:timelineStyle>
        <x15:timelineStyle name="Timeline Style 17">
          <x15:timelineStyleElements>
            <x15:timelineStyleElement type="selectionLabel" dxfId="59"/>
            <x15:timelineStyleElement type="timeLevel" dxfId="58"/>
            <x15:timelineStyleElement type="periodLabel1" dxfId="57"/>
            <x15:timelineStyleElement type="periodLabel2" dxfId="56"/>
            <x15:timelineStyleElement type="selectedTimeBlock" dxfId="55"/>
            <x15:timelineStyleElement type="unselectedTimeBlock" dxfId="54"/>
          </x15:timelineStyleElements>
        </x15:timelineStyle>
        <x15:timelineStyle name="Timeline Style 18">
          <x15:timelineStyleElements>
            <x15:timelineStyleElement type="selectionLabel" dxfId="53"/>
            <x15:timelineStyleElement type="timeLevel" dxfId="52"/>
            <x15:timelineStyleElement type="periodLabel1" dxfId="51"/>
            <x15:timelineStyleElement type="periodLabel2" dxfId="50"/>
            <x15:timelineStyleElement type="selectedTimeBlock" dxfId="49"/>
            <x15:timelineStyleElement type="unselectedTimeBlock" dxfId="48"/>
          </x15:timelineStyleElements>
        </x15:timelineStyle>
        <x15:timelineStyle name="Timeline Style 2">
          <x15:timelineStyleElements>
            <x15:timelineStyleElement type="selectionLabel" dxfId="47"/>
            <x15:timelineStyleElement type="timeLevel" dxfId="46"/>
            <x15:timelineStyleElement type="periodLabel1" dxfId="45"/>
            <x15:timelineStyleElement type="periodLabel2" dxfId="44"/>
            <x15:timelineStyleElement type="selectedTimeBlock" dxfId="43"/>
            <x15:timelineStyleElement type="unselectedTimeBlock" dxfId="42"/>
          </x15:timelineStyleElements>
        </x15:timelineStyle>
        <x15:timelineStyle name="Timeline Style 3">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Timeline Style 4">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5">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6">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7">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8">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9">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Month!PivotTable1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263177.19</c:v>
                </c:pt>
                <c:pt idx="1">
                  <c:v>247068.95999999996</c:v>
                </c:pt>
                <c:pt idx="2">
                  <c:v>176984.48</c:v>
                </c:pt>
                <c:pt idx="3">
                  <c:v>222086.93000000002</c:v>
                </c:pt>
                <c:pt idx="4">
                  <c:v>258158.80999999994</c:v>
                </c:pt>
                <c:pt idx="5">
                  <c:v>252742.58999999997</c:v>
                </c:pt>
                <c:pt idx="6">
                  <c:v>213940.98999999993</c:v>
                </c:pt>
                <c:pt idx="7">
                  <c:v>204312.49000000017</c:v>
                </c:pt>
                <c:pt idx="8">
                  <c:v>234872.34000000008</c:v>
                </c:pt>
                <c:pt idx="9">
                  <c:v>204505.66</c:v>
                </c:pt>
                <c:pt idx="10">
                  <c:v>272237.13</c:v>
                </c:pt>
                <c:pt idx="11">
                  <c:v>281578.09999999992</c:v>
                </c:pt>
              </c:numCache>
            </c:numRef>
          </c:val>
          <c:smooth val="0"/>
          <c:extLst>
            <c:ext xmlns:c16="http://schemas.microsoft.com/office/drawing/2014/chart" uri="{C3380CC4-5D6E-409C-BE32-E72D297353CC}">
              <c16:uniqueId val="{00000000-EE82-4516-9B2B-DC029A58CA92}"/>
            </c:ext>
          </c:extLst>
        </c:ser>
        <c:dLbls>
          <c:showLegendKey val="0"/>
          <c:showVal val="1"/>
          <c:showCatName val="0"/>
          <c:showSerName val="0"/>
          <c:showPercent val="0"/>
          <c:showBubbleSize val="0"/>
        </c:dLbls>
        <c:marker val="1"/>
        <c:smooth val="0"/>
        <c:axId val="612576640"/>
        <c:axId val="612577888"/>
      </c:lineChart>
      <c:catAx>
        <c:axId val="61257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2577888"/>
        <c:crosses val="autoZero"/>
        <c:auto val="1"/>
        <c:lblAlgn val="ctr"/>
        <c:lblOffset val="100"/>
        <c:noMultiLvlLbl val="0"/>
      </c:catAx>
      <c:valAx>
        <c:axId val="612577888"/>
        <c:scaling>
          <c:orientation val="minMax"/>
        </c:scaling>
        <c:delete val="1"/>
        <c:axPos val="l"/>
        <c:numFmt formatCode="General" sourceLinked="1"/>
        <c:majorTickMark val="none"/>
        <c:minorTickMark val="none"/>
        <c:tickLblPos val="nextTo"/>
        <c:crossAx val="61257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Salesperson!PivotTable1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81718974725707"/>
          <c:y val="0.10620513617295185"/>
          <c:w val="0.56709270811616974"/>
          <c:h val="0.85864197530864195"/>
        </c:manualLayout>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Salesperson'!$A$4:$A$16</c:f>
              <c:strCache>
                <c:ptCount val="12"/>
                <c:pt idx="0">
                  <c:v>Milner, James</c:v>
                </c:pt>
                <c:pt idx="1">
                  <c:v>Temple, Cheryl</c:v>
                </c:pt>
                <c:pt idx="2">
                  <c:v>Hines, Zach</c:v>
                </c:pt>
                <c:pt idx="3">
                  <c:v>Barkley, Ross</c:v>
                </c:pt>
                <c:pt idx="4">
                  <c:v>Tall, Liz</c:v>
                </c:pt>
                <c:pt idx="5">
                  <c:v>Azpilecueta, Moses</c:v>
                </c:pt>
                <c:pt idx="6">
                  <c:v>Fog, Londong</c:v>
                </c:pt>
                <c:pt idx="7">
                  <c:v>Dede, Amakye</c:v>
                </c:pt>
                <c:pt idx="8">
                  <c:v>Smith, Bob</c:v>
                </c:pt>
                <c:pt idx="9">
                  <c:v>Haveria, Luiz</c:v>
                </c:pt>
                <c:pt idx="10">
                  <c:v>Read, Tira</c:v>
                </c:pt>
                <c:pt idx="11">
                  <c:v>Stuart, Jill</c:v>
                </c:pt>
              </c:strCache>
            </c:strRef>
          </c:cat>
          <c:val>
            <c:numRef>
              <c:f>'Sales by Salesperson'!$B$4:$B$16</c:f>
              <c:numCache>
                <c:formatCode>General</c:formatCode>
                <c:ptCount val="12"/>
                <c:pt idx="0">
                  <c:v>158470.57999999999</c:v>
                </c:pt>
                <c:pt idx="1">
                  <c:v>182345.68</c:v>
                </c:pt>
                <c:pt idx="2">
                  <c:v>202008.51000000004</c:v>
                </c:pt>
                <c:pt idx="3">
                  <c:v>204828.36000000007</c:v>
                </c:pt>
                <c:pt idx="4">
                  <c:v>207709.4</c:v>
                </c:pt>
                <c:pt idx="5">
                  <c:v>209208.75999999998</c:v>
                </c:pt>
                <c:pt idx="6">
                  <c:v>222209.90000000002</c:v>
                </c:pt>
                <c:pt idx="7">
                  <c:v>241683.0500000001</c:v>
                </c:pt>
                <c:pt idx="8">
                  <c:v>244128.55000000002</c:v>
                </c:pt>
                <c:pt idx="9">
                  <c:v>252220.82000000007</c:v>
                </c:pt>
                <c:pt idx="10">
                  <c:v>344415.49999999994</c:v>
                </c:pt>
                <c:pt idx="11">
                  <c:v>362436.55999999988</c:v>
                </c:pt>
              </c:numCache>
            </c:numRef>
          </c:val>
          <c:extLst>
            <c:ext xmlns:c16="http://schemas.microsoft.com/office/drawing/2014/chart" uri="{C3380CC4-5D6E-409C-BE32-E72D297353CC}">
              <c16:uniqueId val="{00000000-B304-49C0-8A40-7F0A8E6EDA2F}"/>
            </c:ext>
          </c:extLst>
        </c:ser>
        <c:dLbls>
          <c:dLblPos val="inEnd"/>
          <c:showLegendKey val="0"/>
          <c:showVal val="1"/>
          <c:showCatName val="0"/>
          <c:showSerName val="0"/>
          <c:showPercent val="0"/>
          <c:showBubbleSize val="0"/>
        </c:dLbls>
        <c:gapWidth val="50"/>
        <c:axId val="612576640"/>
        <c:axId val="612577888"/>
      </c:barChart>
      <c:catAx>
        <c:axId val="61257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77888"/>
        <c:crosses val="autoZero"/>
        <c:auto val="1"/>
        <c:lblAlgn val="ctr"/>
        <c:lblOffset val="100"/>
        <c:noMultiLvlLbl val="0"/>
      </c:catAx>
      <c:valAx>
        <c:axId val="612577888"/>
        <c:scaling>
          <c:orientation val="minMax"/>
        </c:scaling>
        <c:delete val="1"/>
        <c:axPos val="b"/>
        <c:numFmt formatCode="General" sourceLinked="1"/>
        <c:majorTickMark val="none"/>
        <c:minorTickMark val="none"/>
        <c:tickLblPos val="nextTo"/>
        <c:crossAx val="61257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Product!PivotTable1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13197027896238E-2"/>
          <c:y val="0.17384637074392073"/>
          <c:w val="0.91197360594420751"/>
          <c:h val="0.61905986855313977"/>
        </c:manualLayout>
      </c:layout>
      <c:barChart>
        <c:barDir val="col"/>
        <c:grouping val="clustered"/>
        <c:varyColors val="0"/>
        <c:ser>
          <c:idx val="0"/>
          <c:order val="0"/>
          <c:tx>
            <c:strRef>
              <c:f>'Sales by Product'!$B$3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Product'!$A$4:$A$9</c:f>
              <c:strCache>
                <c:ptCount val="5"/>
                <c:pt idx="0">
                  <c:v>Beef Meals</c:v>
                </c:pt>
                <c:pt idx="1">
                  <c:v>Fish Meals </c:v>
                </c:pt>
                <c:pt idx="2">
                  <c:v>Pasta Dishes</c:v>
                </c:pt>
                <c:pt idx="3">
                  <c:v>Seafood</c:v>
                </c:pt>
                <c:pt idx="4">
                  <c:v>Vegetarian Dishes </c:v>
                </c:pt>
              </c:strCache>
            </c:strRef>
          </c:cat>
          <c:val>
            <c:numRef>
              <c:f>'Sales by Product'!$B$4:$B$9</c:f>
              <c:numCache>
                <c:formatCode>General</c:formatCode>
                <c:ptCount val="5"/>
                <c:pt idx="0">
                  <c:v>272347.40000000002</c:v>
                </c:pt>
                <c:pt idx="1">
                  <c:v>618824.24999999953</c:v>
                </c:pt>
                <c:pt idx="2">
                  <c:v>1343116.0500000003</c:v>
                </c:pt>
                <c:pt idx="3">
                  <c:v>119025.12000000001</c:v>
                </c:pt>
                <c:pt idx="4">
                  <c:v>478352.85000000009</c:v>
                </c:pt>
              </c:numCache>
            </c:numRef>
          </c:val>
          <c:extLst>
            <c:ext xmlns:c16="http://schemas.microsoft.com/office/drawing/2014/chart" uri="{C3380CC4-5D6E-409C-BE32-E72D297353CC}">
              <c16:uniqueId val="{00000000-0397-4B2D-8981-9EB6320166C1}"/>
            </c:ext>
          </c:extLst>
        </c:ser>
        <c:dLbls>
          <c:dLblPos val="outEnd"/>
          <c:showLegendKey val="0"/>
          <c:showVal val="1"/>
          <c:showCatName val="0"/>
          <c:showSerName val="0"/>
          <c:showPercent val="0"/>
          <c:showBubbleSize val="0"/>
        </c:dLbls>
        <c:gapWidth val="100"/>
        <c:axId val="671492736"/>
        <c:axId val="671485664"/>
      </c:barChart>
      <c:catAx>
        <c:axId val="671492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485664"/>
        <c:crosses val="autoZero"/>
        <c:auto val="1"/>
        <c:lblAlgn val="ctr"/>
        <c:lblOffset val="100"/>
        <c:noMultiLvlLbl val="0"/>
      </c:catAx>
      <c:valAx>
        <c:axId val="671485664"/>
        <c:scaling>
          <c:orientation val="minMax"/>
        </c:scaling>
        <c:delete val="1"/>
        <c:axPos val="l"/>
        <c:numFmt formatCode="General" sourceLinked="1"/>
        <c:majorTickMark val="out"/>
        <c:minorTickMark val="none"/>
        <c:tickLblPos val="nextTo"/>
        <c:crossAx val="67149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'Sales by Region'!$B$3</c:f>
              <c:strCache>
                <c:ptCount val="1"/>
                <c:pt idx="0">
                  <c:v>Total</c:v>
                </c:pt>
              </c:strCache>
            </c:strRef>
          </c:tx>
          <c:explosion val="2"/>
          <c:dPt>
            <c:idx val="0"/>
            <c:bubble3D val="0"/>
            <c:spPr>
              <a:solidFill>
                <a:schemeClr val="accent1"/>
              </a:solidFill>
              <a:ln>
                <a:noFill/>
              </a:ln>
              <a:effectLst/>
            </c:spPr>
            <c:extLst>
              <c:ext xmlns:c16="http://schemas.microsoft.com/office/drawing/2014/chart" uri="{C3380CC4-5D6E-409C-BE32-E72D297353CC}">
                <c16:uniqueId val="{00000001-14E8-463F-8E44-A75F0C071F48}"/>
              </c:ext>
            </c:extLst>
          </c:dPt>
          <c:dPt>
            <c:idx val="1"/>
            <c:bubble3D val="0"/>
            <c:spPr>
              <a:solidFill>
                <a:schemeClr val="accent2"/>
              </a:solidFill>
              <a:ln>
                <a:noFill/>
              </a:ln>
              <a:effectLst/>
            </c:spPr>
            <c:extLst>
              <c:ext xmlns:c16="http://schemas.microsoft.com/office/drawing/2014/chart" uri="{C3380CC4-5D6E-409C-BE32-E72D297353CC}">
                <c16:uniqueId val="{00000003-14E8-463F-8E44-A75F0C071F48}"/>
              </c:ext>
            </c:extLst>
          </c:dPt>
          <c:dPt>
            <c:idx val="2"/>
            <c:bubble3D val="0"/>
            <c:spPr>
              <a:solidFill>
                <a:schemeClr val="accent3"/>
              </a:solidFill>
              <a:ln>
                <a:noFill/>
              </a:ln>
              <a:effectLst/>
            </c:spPr>
            <c:extLst>
              <c:ext xmlns:c16="http://schemas.microsoft.com/office/drawing/2014/chart" uri="{C3380CC4-5D6E-409C-BE32-E72D297353CC}">
                <c16:uniqueId val="{00000005-14E8-463F-8E44-A75F0C071F48}"/>
              </c:ext>
            </c:extLst>
          </c:dPt>
          <c:dPt>
            <c:idx val="3"/>
            <c:bubble3D val="0"/>
            <c:spPr>
              <a:solidFill>
                <a:schemeClr val="accent4"/>
              </a:solidFill>
              <a:ln>
                <a:noFill/>
              </a:ln>
              <a:effectLst/>
            </c:spPr>
            <c:extLst>
              <c:ext xmlns:c16="http://schemas.microsoft.com/office/drawing/2014/chart" uri="{C3380CC4-5D6E-409C-BE32-E72D297353CC}">
                <c16:uniqueId val="{00000007-14E8-463F-8E44-A75F0C071F48}"/>
              </c:ext>
            </c:extLst>
          </c:dPt>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951068.45000000054</c:v>
                </c:pt>
                <c:pt idx="1">
                  <c:v>998636.30999999912</c:v>
                </c:pt>
                <c:pt idx="2">
                  <c:v>457742.50000000017</c:v>
                </c:pt>
                <c:pt idx="3">
                  <c:v>424218.40999999986</c:v>
                </c:pt>
              </c:numCache>
            </c:numRef>
          </c:val>
          <c:extLst>
            <c:ext xmlns:c16="http://schemas.microsoft.com/office/drawing/2014/chart" uri="{C3380CC4-5D6E-409C-BE32-E72D297353CC}">
              <c16:uniqueId val="{00000008-14E8-463F-8E44-A75F0C071F48}"/>
            </c:ext>
          </c:extLst>
        </c:ser>
        <c:dLbls>
          <c:showLegendKey val="0"/>
          <c:showVal val="0"/>
          <c:showCatName val="0"/>
          <c:showSerName val="0"/>
          <c:showPercent val="0"/>
          <c:showBubbleSize val="0"/>
          <c:showLeaderLines val="1"/>
        </c:dLbls>
        <c:firstSliceAng val="0"/>
        <c:holeSize val="3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Customer!PivotTable1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Customer'!$B$3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Customer'!$A$4:$A$9</c:f>
              <c:strCache>
                <c:ptCount val="5"/>
                <c:pt idx="0">
                  <c:v>Elton John</c:v>
                </c:pt>
                <c:pt idx="1">
                  <c:v>Kwaku Mason</c:v>
                </c:pt>
                <c:pt idx="2">
                  <c:v>Clifford Quist</c:v>
                </c:pt>
                <c:pt idx="3">
                  <c:v>Fisher Mills</c:v>
                </c:pt>
                <c:pt idx="4">
                  <c:v>Sharon Sticks</c:v>
                </c:pt>
              </c:strCache>
            </c:strRef>
          </c:cat>
          <c:val>
            <c:numRef>
              <c:f>'Sales by Customer'!$B$4:$B$9</c:f>
              <c:numCache>
                <c:formatCode>#,##0</c:formatCode>
                <c:ptCount val="5"/>
                <c:pt idx="0">
                  <c:v>917507</c:v>
                </c:pt>
                <c:pt idx="1">
                  <c:v>501135.60999999987</c:v>
                </c:pt>
                <c:pt idx="2">
                  <c:v>478552.63999999984</c:v>
                </c:pt>
                <c:pt idx="3">
                  <c:v>470054.8899999999</c:v>
                </c:pt>
                <c:pt idx="4">
                  <c:v>464415.52999999991</c:v>
                </c:pt>
              </c:numCache>
            </c:numRef>
          </c:val>
          <c:extLst>
            <c:ext xmlns:c16="http://schemas.microsoft.com/office/drawing/2014/chart" uri="{C3380CC4-5D6E-409C-BE32-E72D297353CC}">
              <c16:uniqueId val="{00000000-2AAC-44E0-87D6-603E24FDFFBF}"/>
            </c:ext>
          </c:extLst>
        </c:ser>
        <c:dLbls>
          <c:dLblPos val="outEnd"/>
          <c:showLegendKey val="0"/>
          <c:showVal val="1"/>
          <c:showCatName val="0"/>
          <c:showSerName val="0"/>
          <c:showPercent val="0"/>
          <c:showBubbleSize val="0"/>
        </c:dLbls>
        <c:gapWidth val="50"/>
        <c:axId val="1069341856"/>
        <c:axId val="1069342688"/>
      </c:barChart>
      <c:catAx>
        <c:axId val="106934185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342688"/>
        <c:crosses val="autoZero"/>
        <c:auto val="1"/>
        <c:lblAlgn val="ctr"/>
        <c:lblOffset val="100"/>
        <c:noMultiLvlLbl val="0"/>
      </c:catAx>
      <c:valAx>
        <c:axId val="1069342688"/>
        <c:scaling>
          <c:orientation val="minMax"/>
        </c:scaling>
        <c:delete val="1"/>
        <c:axPos val="t"/>
        <c:numFmt formatCode="#,##0" sourceLinked="1"/>
        <c:majorTickMark val="none"/>
        <c:minorTickMark val="none"/>
        <c:tickLblPos val="nextTo"/>
        <c:crossAx val="106934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15240</xdr:colOff>
      <xdr:row>9</xdr:row>
      <xdr:rowOff>0</xdr:rowOff>
    </xdr:from>
    <xdr:to>
      <xdr:col>12</xdr:col>
      <xdr:colOff>15240</xdr:colOff>
      <xdr:row>13</xdr:row>
      <xdr:rowOff>88908</xdr:rowOff>
    </xdr:to>
    <mc:AlternateContent xmlns:mc="http://schemas.openxmlformats.org/markup-compatibility/2006" xmlns:tsle="http://schemas.microsoft.com/office/drawing/2012/timeslicer">
      <mc:Choice Requires="tsle">
        <xdr:graphicFrame macro="">
          <xdr:nvGraphicFramePr>
            <xdr:cNvPr id="17" name="Date 1">
              <a:extLst>
                <a:ext uri="{FF2B5EF4-FFF2-40B4-BE49-F238E27FC236}">
                  <a16:creationId xmlns:a16="http://schemas.microsoft.com/office/drawing/2014/main" id="{FB7FFC93-B717-4103-9E27-9FEED3A7CF2C}"/>
                </a:ext>
              </a:extLst>
            </xdr:cNvPr>
            <xdr:cNvGraphicFramePr>
              <a:graphicFrameLocks/>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173980" y="1798320"/>
              <a:ext cx="1828800" cy="866148"/>
            </a:xfrm>
            <a:prstGeom prst="rect">
              <a:avLst/>
            </a:prstGeom>
            <a:solidFill>
              <a:prstClr val="white"/>
            </a:solidFill>
            <a:ln w="1">
              <a:solidFill>
                <a:prstClr val="green"/>
              </a:solidFill>
            </a:ln>
          </xdr:spPr>
          <xdr:txBody>
            <a:bodyPr vertOverflow="clip" horzOverflow="clip"/>
            <a:lstStyle/>
            <a:p>
              <a:r>
                <a:rPr lang="en-GH" sz="1100"/>
                <a:t>Timeline: Works in Excel 2013 or higher. Do not move or resize.</a:t>
              </a:r>
            </a:p>
          </xdr:txBody>
        </xdr:sp>
      </mc:Fallback>
    </mc:AlternateContent>
    <xdr:clientData/>
  </xdr:twoCellAnchor>
  <xdr:twoCellAnchor>
    <xdr:from>
      <xdr:col>4</xdr:col>
      <xdr:colOff>38100</xdr:colOff>
      <xdr:row>2</xdr:row>
      <xdr:rowOff>99060</xdr:rowOff>
    </xdr:from>
    <xdr:to>
      <xdr:col>22</xdr:col>
      <xdr:colOff>457200</xdr:colOff>
      <xdr:row>27</xdr:row>
      <xdr:rowOff>160020</xdr:rowOff>
    </xdr:to>
    <xdr:grpSp>
      <xdr:nvGrpSpPr>
        <xdr:cNvPr id="10" name="Group 9">
          <a:extLst>
            <a:ext uri="{FF2B5EF4-FFF2-40B4-BE49-F238E27FC236}">
              <a16:creationId xmlns:a16="http://schemas.microsoft.com/office/drawing/2014/main" id="{840349CE-9CEC-4CA5-AFEE-555AD0D3EBD2}"/>
            </a:ext>
          </a:extLst>
        </xdr:cNvPr>
        <xdr:cNvGrpSpPr/>
      </xdr:nvGrpSpPr>
      <xdr:grpSpPr>
        <a:xfrm>
          <a:off x="2231890" y="560111"/>
          <a:ext cx="12310150" cy="4798127"/>
          <a:chOff x="1395317" y="518160"/>
          <a:chExt cx="12131665" cy="4632960"/>
        </a:xfrm>
      </xdr:grpSpPr>
      <xdr:graphicFrame macro="">
        <xdr:nvGraphicFramePr>
          <xdr:cNvPr id="2" name="Chart 1">
            <a:extLst>
              <a:ext uri="{FF2B5EF4-FFF2-40B4-BE49-F238E27FC236}">
                <a16:creationId xmlns:a16="http://schemas.microsoft.com/office/drawing/2014/main" id="{FF6218B1-7158-47FB-9968-8DBAAF943822}"/>
              </a:ext>
            </a:extLst>
          </xdr:cNvPr>
          <xdr:cNvGraphicFramePr>
            <a:graphicFrameLocks/>
          </xdr:cNvGraphicFramePr>
        </xdr:nvGraphicFramePr>
        <xdr:xfrm>
          <a:off x="1674443" y="518160"/>
          <a:ext cx="8174861" cy="14630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BEAC083-7024-4F0A-A506-741A85C63B40}"/>
              </a:ext>
            </a:extLst>
          </xdr:cNvPr>
          <xdr:cNvGraphicFramePr>
            <a:graphicFrameLocks/>
          </xdr:cNvGraphicFramePr>
        </xdr:nvGraphicFramePr>
        <xdr:xfrm>
          <a:off x="9569077" y="815340"/>
          <a:ext cx="3957905" cy="432054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9" name="Group 8">
            <a:extLst>
              <a:ext uri="{FF2B5EF4-FFF2-40B4-BE49-F238E27FC236}">
                <a16:creationId xmlns:a16="http://schemas.microsoft.com/office/drawing/2014/main" id="{E3A3A9F7-FD87-44B8-B16D-19A26ABC869D}"/>
              </a:ext>
            </a:extLst>
          </xdr:cNvPr>
          <xdr:cNvGrpSpPr/>
        </xdr:nvGrpSpPr>
        <xdr:grpSpPr>
          <a:xfrm>
            <a:off x="1395317" y="2541320"/>
            <a:ext cx="5666816" cy="2609800"/>
            <a:chOff x="1395317" y="2541320"/>
            <a:chExt cx="5666816" cy="2609800"/>
          </a:xfrm>
        </xdr:grpSpPr>
        <xdr:graphicFrame macro="">
          <xdr:nvGraphicFramePr>
            <xdr:cNvPr id="4" name="Chart 3">
              <a:extLst>
                <a:ext uri="{FF2B5EF4-FFF2-40B4-BE49-F238E27FC236}">
                  <a16:creationId xmlns:a16="http://schemas.microsoft.com/office/drawing/2014/main" id="{38A95AD4-BDC1-4C42-A0C9-5508E2E5DC0A}"/>
                </a:ext>
              </a:extLst>
            </xdr:cNvPr>
            <xdr:cNvGraphicFramePr>
              <a:graphicFrameLocks/>
            </xdr:cNvGraphicFramePr>
          </xdr:nvGraphicFramePr>
          <xdr:xfrm>
            <a:off x="3816568" y="2552700"/>
            <a:ext cx="3245565" cy="25984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4EA7C4C8-AC64-4708-A14F-A04AC65AA82E}"/>
                </a:ext>
              </a:extLst>
            </xdr:cNvPr>
            <xdr:cNvGraphicFramePr>
              <a:graphicFrameLocks/>
            </xdr:cNvGraphicFramePr>
          </xdr:nvGraphicFramePr>
          <xdr:xfrm>
            <a:off x="1395317" y="2541320"/>
            <a:ext cx="2554737" cy="2487879"/>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twoCellAnchor>
    <xdr:from>
      <xdr:col>0</xdr:col>
      <xdr:colOff>144780</xdr:colOff>
      <xdr:row>4</xdr:row>
      <xdr:rowOff>152400</xdr:rowOff>
    </xdr:from>
    <xdr:to>
      <xdr:col>4</xdr:col>
      <xdr:colOff>7620</xdr:colOff>
      <xdr:row>9</xdr:row>
      <xdr:rowOff>38100</xdr:rowOff>
    </xdr:to>
    <xdr:sp macro="" textlink="">
      <xdr:nvSpPr>
        <xdr:cNvPr id="7" name="Rectangle: Rounded Corners 6">
          <a:extLst>
            <a:ext uri="{FF2B5EF4-FFF2-40B4-BE49-F238E27FC236}">
              <a16:creationId xmlns:a16="http://schemas.microsoft.com/office/drawing/2014/main" id="{CD8EEBE1-C69F-4F96-9D7A-D9BCB0C5E64A}"/>
            </a:ext>
          </a:extLst>
        </xdr:cNvPr>
        <xdr:cNvSpPr/>
      </xdr:nvSpPr>
      <xdr:spPr>
        <a:xfrm>
          <a:off x="144780" y="990600"/>
          <a:ext cx="1973580" cy="84582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152400</xdr:colOff>
      <xdr:row>10</xdr:row>
      <xdr:rowOff>114300</xdr:rowOff>
    </xdr:from>
    <xdr:to>
      <xdr:col>4</xdr:col>
      <xdr:colOff>15240</xdr:colOff>
      <xdr:row>15</xdr:row>
      <xdr:rowOff>45720</xdr:rowOff>
    </xdr:to>
    <xdr:sp macro="" textlink="">
      <xdr:nvSpPr>
        <xdr:cNvPr id="11" name="Rectangle: Rounded Corners 10">
          <a:extLst>
            <a:ext uri="{FF2B5EF4-FFF2-40B4-BE49-F238E27FC236}">
              <a16:creationId xmlns:a16="http://schemas.microsoft.com/office/drawing/2014/main" id="{E2DCAD29-FE2B-4594-8B32-9957DEE5C2BF}"/>
            </a:ext>
          </a:extLst>
        </xdr:cNvPr>
        <xdr:cNvSpPr/>
      </xdr:nvSpPr>
      <xdr:spPr>
        <a:xfrm>
          <a:off x="152400" y="2095500"/>
          <a:ext cx="1973580" cy="8915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144780</xdr:colOff>
      <xdr:row>16</xdr:row>
      <xdr:rowOff>114300</xdr:rowOff>
    </xdr:from>
    <xdr:to>
      <xdr:col>4</xdr:col>
      <xdr:colOff>7620</xdr:colOff>
      <xdr:row>21</xdr:row>
      <xdr:rowOff>45720</xdr:rowOff>
    </xdr:to>
    <xdr:sp macro="" textlink="">
      <xdr:nvSpPr>
        <xdr:cNvPr id="12" name="Rectangle: Rounded Corners 11">
          <a:extLst>
            <a:ext uri="{FF2B5EF4-FFF2-40B4-BE49-F238E27FC236}">
              <a16:creationId xmlns:a16="http://schemas.microsoft.com/office/drawing/2014/main" id="{C657C07C-D0E3-4872-98ED-74C4913E17A1}"/>
            </a:ext>
          </a:extLst>
        </xdr:cNvPr>
        <xdr:cNvSpPr/>
      </xdr:nvSpPr>
      <xdr:spPr>
        <a:xfrm>
          <a:off x="144780" y="3238500"/>
          <a:ext cx="1973580" cy="8915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137160</xdr:colOff>
      <xdr:row>22</xdr:row>
      <xdr:rowOff>99060</xdr:rowOff>
    </xdr:from>
    <xdr:to>
      <xdr:col>4</xdr:col>
      <xdr:colOff>0</xdr:colOff>
      <xdr:row>27</xdr:row>
      <xdr:rowOff>30480</xdr:rowOff>
    </xdr:to>
    <xdr:sp macro="" textlink="">
      <xdr:nvSpPr>
        <xdr:cNvPr id="13" name="Rectangle: Rounded Corners 12">
          <a:extLst>
            <a:ext uri="{FF2B5EF4-FFF2-40B4-BE49-F238E27FC236}">
              <a16:creationId xmlns:a16="http://schemas.microsoft.com/office/drawing/2014/main" id="{85707F09-A834-432E-B894-069A75100F85}"/>
            </a:ext>
          </a:extLst>
        </xdr:cNvPr>
        <xdr:cNvSpPr/>
      </xdr:nvSpPr>
      <xdr:spPr>
        <a:xfrm>
          <a:off x="137160" y="4366260"/>
          <a:ext cx="1973580" cy="84582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editAs="oneCell">
    <xdr:from>
      <xdr:col>18</xdr:col>
      <xdr:colOff>594360</xdr:colOff>
      <xdr:row>2</xdr:row>
      <xdr:rowOff>76200</xdr:rowOff>
    </xdr:from>
    <xdr:to>
      <xdr:col>22</xdr:col>
      <xdr:colOff>419100</xdr:colOff>
      <xdr:row>4</xdr:row>
      <xdr:rowOff>99060</xdr:rowOff>
    </xdr:to>
    <mc:AlternateContent xmlns:mc="http://schemas.openxmlformats.org/markup-compatibility/2006" xmlns:a14="http://schemas.microsoft.com/office/drawing/2010/main">
      <mc:Choice Requires="a14">
        <xdr:graphicFrame macro="">
          <xdr:nvGraphicFramePr>
            <xdr:cNvPr id="14" name="Region 2">
              <a:extLst>
                <a:ext uri="{FF2B5EF4-FFF2-40B4-BE49-F238E27FC236}">
                  <a16:creationId xmlns:a16="http://schemas.microsoft.com/office/drawing/2014/main" id="{365E470E-4DB3-4CC0-B71E-647AF693A7A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239500" y="533400"/>
              <a:ext cx="2735580" cy="40386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190500</xdr:colOff>
      <xdr:row>13</xdr:row>
      <xdr:rowOff>88908</xdr:rowOff>
    </xdr:from>
    <xdr:to>
      <xdr:col>17</xdr:col>
      <xdr:colOff>571500</xdr:colOff>
      <xdr:row>26</xdr:row>
      <xdr:rowOff>83820</xdr:rowOff>
    </xdr:to>
    <xdr:graphicFrame macro="">
      <xdr:nvGraphicFramePr>
        <xdr:cNvPr id="16" name="Chart 15">
          <a:extLst>
            <a:ext uri="{FF2B5EF4-FFF2-40B4-BE49-F238E27FC236}">
              <a16:creationId xmlns:a16="http://schemas.microsoft.com/office/drawing/2014/main" id="{8BF2D69A-6ABF-4FF3-9AC2-860FE3310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68580</xdr:colOff>
      <xdr:row>0</xdr:row>
      <xdr:rowOff>18914</xdr:rowOff>
    </xdr:from>
    <xdr:to>
      <xdr:col>2</xdr:col>
      <xdr:colOff>0</xdr:colOff>
      <xdr:row>1</xdr:row>
      <xdr:rowOff>251460</xdr:rowOff>
    </xdr:to>
    <xdr:pic>
      <xdr:nvPicPr>
        <xdr:cNvPr id="8" name="Graphic 7" descr="Restaurant outline">
          <a:extLst>
            <a:ext uri="{FF2B5EF4-FFF2-40B4-BE49-F238E27FC236}">
              <a16:creationId xmlns:a16="http://schemas.microsoft.com/office/drawing/2014/main" id="{88CD26FB-BCF8-400C-855A-36030CCE603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50520" y="18914"/>
          <a:ext cx="541020" cy="415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23</xdr:col>
          <xdr:colOff>243840</xdr:colOff>
          <xdr:row>30</xdr:row>
          <xdr:rowOff>106680</xdr:rowOff>
        </xdr:to>
        <xdr:pic>
          <xdr:nvPicPr>
            <xdr:cNvPr id="2" name="Picture 1">
              <a:extLst>
                <a:ext uri="{FF2B5EF4-FFF2-40B4-BE49-F238E27FC236}">
                  <a16:creationId xmlns:a16="http://schemas.microsoft.com/office/drawing/2014/main" id="{B67F96C4-7828-4929-ACDE-1395437BCEC5}"/>
                </a:ext>
              </a:extLst>
            </xdr:cNvPr>
            <xdr:cNvPicPr>
              <a:picLocks noChangeAspect="1" noChangeArrowheads="1"/>
              <a:extLst>
                <a:ext uri="{84589F7E-364E-4C9E-8A38-B11213B215E9}">
                  <a14:cameraTool cellRange="Dashboard!$A$1:$V$29" spid="_x0000_s15415"/>
                </a:ext>
              </a:extLst>
            </xdr:cNvPicPr>
          </xdr:nvPicPr>
          <xdr:blipFill>
            <a:blip xmlns:r="http://schemas.openxmlformats.org/officeDocument/2006/relationships" r:embed="rId1"/>
            <a:srcRect/>
            <a:stretch>
              <a:fillRect/>
            </a:stretch>
          </xdr:blipFill>
          <xdr:spPr bwMode="auto">
            <a:xfrm>
              <a:off x="0" y="0"/>
              <a:ext cx="14417040" cy="559308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18</xdr:col>
      <xdr:colOff>495300</xdr:colOff>
      <xdr:row>0</xdr:row>
      <xdr:rowOff>0</xdr:rowOff>
    </xdr:from>
    <xdr:to>
      <xdr:col>23</xdr:col>
      <xdr:colOff>30480</xdr:colOff>
      <xdr:row>2</xdr:row>
      <xdr:rowOff>45720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56CD61A3-8D3F-47E7-8636-1C413F5B96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68100" y="0"/>
              <a:ext cx="2735580" cy="41148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ana%20Kwame%20S.%20Dadzie\OneDrive\Desktop\Kaylor%20Project\Advanced%20Excel%20Essentials\Revised%20Excel%20Note\Lookup%20and%20Reference%20Fun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Note"/>
      <sheetName val="Exact Match VLookup"/>
      <sheetName val="Approx. Match VLookup"/>
      <sheetName val="HLookup"/>
      <sheetName val="INDEX and Match"/>
      <sheetName val="Matrix Lookup"/>
      <sheetName val="Offset"/>
      <sheetName val="Assignment"/>
      <sheetName val="Blackbox"/>
    </sheetNames>
    <sheetDataSet>
      <sheetData sheetId="0" refreshError="1"/>
      <sheetData sheetId="1" refreshError="1"/>
      <sheetData sheetId="2" refreshError="1"/>
      <sheetData sheetId="3" refreshError="1"/>
      <sheetData sheetId="4">
        <row r="4">
          <cell r="H4" t="str">
            <v>Grading Scheme</v>
          </cell>
        </row>
        <row r="5">
          <cell r="H5" t="str">
            <v>Final Score (%)</v>
          </cell>
          <cell r="I5" t="str">
            <v>Grade</v>
          </cell>
          <cell r="J5" t="str">
            <v>Interpretaion</v>
          </cell>
        </row>
        <row r="6">
          <cell r="H6">
            <v>0</v>
          </cell>
          <cell r="I6" t="str">
            <v>F</v>
          </cell>
          <cell r="J6" t="str">
            <v>Fail</v>
          </cell>
        </row>
        <row r="7">
          <cell r="H7">
            <v>56</v>
          </cell>
          <cell r="I7" t="str">
            <v>D</v>
          </cell>
          <cell r="J7" t="str">
            <v>Pass</v>
          </cell>
        </row>
        <row r="8">
          <cell r="H8">
            <v>66</v>
          </cell>
          <cell r="I8" t="str">
            <v>C</v>
          </cell>
          <cell r="J8" t="str">
            <v>Satisfactory</v>
          </cell>
        </row>
        <row r="9">
          <cell r="H9">
            <v>76</v>
          </cell>
          <cell r="I9" t="str">
            <v>B</v>
          </cell>
          <cell r="J9" t="str">
            <v>Good</v>
          </cell>
        </row>
      </sheetData>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a Kwame S. Dadzie" refreshedDate="44465.777122453706" createdVersion="7" refreshedVersion="7" minRefreshableVersion="3" recordCount="909" xr:uid="{CEB702F0-3704-446B-A9E2-F50601DD388B}">
  <cacheSource type="worksheet">
    <worksheetSource name="SalesData"/>
  </cacheSource>
  <cacheFields count="6">
    <cacheField name="Salesperson" numFmtId="0">
      <sharedItems count="12">
        <s v="Stuart, Jill"/>
        <s v="Temple, Cheryl"/>
        <s v="Fog, Londong"/>
        <s v="Read, Tira"/>
        <s v="Dede, Amakye"/>
        <s v="Azpilecueta, Moses"/>
        <s v="Haveria, Luiz"/>
        <s v="Smith, Bob"/>
        <s v="Hines, Zach"/>
        <s v="Barkley, Ross"/>
        <s v="Milner, James"/>
        <s v="Tall, Liz"/>
      </sharedItems>
    </cacheField>
    <cacheField name="Product Category" numFmtId="0">
      <sharedItems count="5">
        <s v="Seafood"/>
        <s v="Beef Meals"/>
        <s v="Vegetarian Dishes "/>
        <s v="Fish Meals "/>
        <s v="Pasta Dishes"/>
      </sharedItems>
    </cacheField>
    <cacheField name="Region" numFmtId="0">
      <sharedItems count="4">
        <s v="East"/>
        <s v="West"/>
        <s v="North"/>
        <s v="South"/>
      </sharedItems>
    </cacheField>
    <cacheField name="Customer" numFmtId="0">
      <sharedItems count="5">
        <s v="Elton John"/>
        <s v="Kwaku Mason"/>
        <s v="Sharon Sticks"/>
        <s v="Fisher Mills"/>
        <s v="Clifford Quist"/>
      </sharedItems>
    </cacheField>
    <cacheField name="Date" numFmtId="15">
      <sharedItems containsSemiMixedTypes="0" containsNonDate="0" containsDate="1" containsString="0" minDate="2020-01-01T00:00:00" maxDate="2020-12-31T00:00:00" count="308">
        <d v="2020-01-01T00:00:00"/>
        <d v="2020-01-02T00:00:00"/>
        <d v="2020-01-06T00:00:00"/>
        <d v="2020-01-07T00:00:00"/>
        <d v="2020-01-08T00:00:00"/>
        <d v="2020-01-09T00:00:00"/>
        <d v="2020-01-10T00:00:00"/>
        <d v="2020-01-11T00:00:00"/>
        <d v="2020-01-13T00:00:00"/>
        <d v="2020-01-14T00:00:00"/>
        <d v="2020-01-15T00:00:00"/>
        <d v="2020-01-16T00:00:00"/>
        <d v="2020-01-17T00:00:00"/>
        <d v="2020-01-1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1T00:00:00"/>
        <d v="2020-02-12T00:00:00"/>
        <d v="2020-02-15T00:00:00"/>
        <d v="2020-02-16T00:00:00"/>
        <d v="2020-02-17T00:00:00"/>
        <d v="2020-02-18T00:00:00"/>
        <d v="2020-02-19T00:00:00"/>
        <d v="2020-02-20T00:00:00"/>
        <d v="2020-02-21T00:00:00"/>
        <d v="2020-02-22T00:00:00"/>
        <d v="2020-02-23T00:00:00"/>
        <d v="2020-02-24T00:00:00"/>
        <d v="2020-02-25T00:00:00"/>
        <d v="2020-02-27T00:00:00"/>
        <d v="2020-02-28T00:00:00"/>
        <d v="2020-03-01T00:00:00"/>
        <d v="2020-03-03T00:00:00"/>
        <d v="2020-03-04T00:00:00"/>
        <d v="2020-03-05T00:00:00"/>
        <d v="2020-03-07T00:00:00"/>
        <d v="2020-03-08T00:00:00"/>
        <d v="2020-03-09T00:00:00"/>
        <d v="2020-03-11T00:00:00"/>
        <d v="2020-03-12T00:00:00"/>
        <d v="2020-03-13T00:00:00"/>
        <d v="2020-03-14T00:00:00"/>
        <d v="2020-03-15T00:00:00"/>
        <d v="2020-03-16T00:00:00"/>
        <d v="2020-03-18T00:00:00"/>
        <d v="2020-03-19T00:00:00"/>
        <d v="2020-03-20T00:00:00"/>
        <d v="2020-03-21T00:00:00"/>
        <d v="2020-03-22T00:00:00"/>
        <d v="2020-03-23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5T00:00:00"/>
        <d v="2020-04-16T00:00:00"/>
        <d v="2020-04-18T00:00:00"/>
        <d v="2020-04-19T00:00:00"/>
        <d v="2020-04-20T00:00:00"/>
        <d v="2020-04-22T00:00:00"/>
        <d v="2020-04-23T00:00:00"/>
        <d v="2020-04-24T00:00:00"/>
        <d v="2020-04-25T00:00:00"/>
        <d v="2020-04-26T00:00:00"/>
        <d v="2020-04-28T00:00:00"/>
        <d v="2020-04-29T00:00:00"/>
        <d v="2020-04-30T00:00:00"/>
        <d v="2020-05-01T00:00:00"/>
        <d v="2020-05-02T00:00:00"/>
        <d v="2020-05-03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3T00:00:00"/>
        <d v="2020-05-24T00:00:00"/>
        <d v="2020-05-25T00:00:00"/>
        <d v="2020-05-26T00:00:00"/>
        <d v="2020-05-27T00:00:00"/>
        <d v="2020-05-28T00:00:00"/>
        <d v="2020-05-29T00:00:00"/>
        <d v="2020-05-30T00:00:00"/>
        <d v="2020-05-31T00:00:00"/>
        <d v="2020-06-02T00:00:00"/>
        <d v="2020-06-03T00:00:00"/>
        <d v="2020-06-04T00:00:00"/>
        <d v="2020-06-06T00:00:00"/>
        <d v="2020-06-07T00:00:00"/>
        <d v="2020-06-09T00:00:00"/>
        <d v="2020-06-10T00:00:00"/>
        <d v="2020-06-11T00:00:00"/>
        <d v="2020-06-12T00:00:00"/>
        <d v="2020-06-13T00:00:00"/>
        <d v="2020-06-14T00:00:00"/>
        <d v="2020-06-15T00:00:00"/>
        <d v="2020-06-17T00:00:00"/>
        <d v="2020-06-18T00:00:00"/>
        <d v="2020-06-19T00:00:00"/>
        <d v="2020-06-21T00:00:00"/>
        <d v="2020-06-22T00:00:00"/>
        <d v="2020-06-24T00:00:00"/>
        <d v="2020-06-25T00:00:00"/>
        <d v="2020-06-26T00:00:00"/>
        <d v="2020-06-27T00:00:00"/>
        <d v="2020-06-28T00:00:00"/>
        <d v="2020-06-30T00:00:00"/>
        <d v="2020-07-01T00:00:00"/>
        <d v="2020-07-02T00:00:00"/>
        <d v="2020-07-03T00:00:00"/>
        <d v="2020-07-04T00:00:00"/>
        <d v="2020-07-05T00:00:00"/>
        <d v="2020-07-07T00:00:00"/>
        <d v="2020-07-08T00:00:00"/>
        <d v="2020-07-09T00:00:00"/>
        <d v="2020-07-10T00:00:00"/>
        <d v="2020-07-11T00:00:00"/>
        <d v="2020-07-12T00:00:00"/>
        <d v="2020-07-13T00:00:00"/>
        <d v="2020-07-15T00:00:00"/>
        <d v="2020-07-16T00:00:00"/>
        <d v="2020-07-17T00:00:00"/>
        <d v="2020-07-18T00:00:00"/>
        <d v="2020-07-19T00:00:00"/>
        <d v="2020-07-20T00:00:00"/>
        <d v="2020-07-23T00:00:00"/>
        <d v="2020-07-24T00:00:00"/>
        <d v="2020-07-25T00:00:00"/>
        <d v="2020-07-26T00:00:00"/>
        <d v="2020-07-27T00:00:00"/>
        <d v="2020-07-28T00:00:00"/>
        <d v="2020-07-29T00:00:00"/>
        <d v="2020-07-30T00:00:00"/>
        <d v="2020-07-31T00:00:00"/>
        <d v="2020-08-01T00:00:00"/>
        <d v="2020-08-02T00:00:00"/>
        <d v="2020-08-04T00:00:00"/>
        <d v="2020-08-05T00:00:00"/>
        <d v="2020-08-06T00:00:00"/>
        <d v="2020-08-07T00:00:00"/>
        <d v="2020-08-08T00:00:00"/>
        <d v="2020-08-09T00:00:00"/>
        <d v="2020-08-12T00:00:00"/>
        <d v="2020-08-13T00:00:00"/>
        <d v="2020-08-14T00:00:00"/>
        <d v="2020-08-15T00:00:00"/>
        <d v="2020-08-16T00:00:00"/>
        <d v="2020-08-17T00:00:00"/>
        <d v="2020-08-19T00:00:00"/>
        <d v="2020-08-20T00:00:00"/>
        <d v="2020-08-21T00:00:00"/>
        <d v="2020-08-22T00:00:00"/>
        <d v="2020-08-23T00:00:00"/>
        <d v="2020-08-24T00:00:00"/>
        <d v="2020-08-25T00:00:00"/>
        <d v="2020-08-26T00:00:00"/>
        <d v="2020-08-27T00:00:00"/>
        <d v="2020-08-28T00:00:00"/>
        <d v="2020-08-29T00:00:00"/>
        <d v="2020-08-30T00:00:00"/>
        <d v="2020-09-02T00:00:00"/>
        <d v="2020-09-03T00:00:00"/>
        <d v="2020-09-04T00:00:00"/>
        <d v="2020-09-05T00:00:00"/>
        <d v="2020-09-06T00:00:00"/>
        <d v="2020-09-09T00:00:00"/>
        <d v="2020-09-10T00:00:00"/>
        <d v="2020-09-12T00:00:00"/>
        <d v="2020-09-14T00:00:00"/>
        <d v="2020-09-15T00:00:00"/>
        <d v="2020-09-17T00:00:00"/>
        <d v="2020-09-18T00:00:00"/>
        <d v="2020-09-19T00:00:00"/>
        <d v="2020-09-20T00:00:00"/>
        <d v="2020-09-21T00:00:00"/>
        <d v="2020-09-23T00:00:00"/>
        <d v="2020-09-24T00:00:00"/>
        <d v="2020-09-25T00:00:00"/>
        <d v="2020-09-26T00:00:00"/>
        <d v="2020-09-27T00:00:00"/>
        <d v="2020-09-28T00:00:00"/>
        <d v="2020-09-29T00:00:00"/>
        <d v="2020-09-30T00:00:00"/>
        <d v="2020-10-01T00:00:00"/>
        <d v="2020-10-02T00:00:00"/>
        <d v="2020-10-03T00:00:00"/>
        <d v="2020-10-04T00:00:00"/>
        <d v="2020-10-06T00:00:00"/>
        <d v="2020-10-07T00:00:00"/>
        <d v="2020-10-08T00:00:00"/>
        <d v="2020-10-09T00:00:00"/>
        <d v="2020-10-10T00:00:00"/>
        <d v="2020-10-11T00:00:00"/>
        <d v="2020-10-13T00:00:00"/>
        <d v="2020-10-14T00:00:00"/>
        <d v="2020-10-15T00:00:00"/>
        <d v="2020-10-16T00:00:00"/>
        <d v="2020-10-18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11T00:00:00"/>
        <d v="2020-11-12T00:00:00"/>
        <d v="2020-11-13T00:00:00"/>
        <d v="2020-11-14T00:00:00"/>
        <d v="2020-11-15T00:00:00"/>
        <d v="2020-11-16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7T00:00:00"/>
        <d v="2020-12-28T00:00:00"/>
        <d v="2020-12-30T00:00:00"/>
      </sharedItems>
      <fieldGroup base="4">
        <rangePr groupBy="months" startDate="2020-01-01T00:00:00" endDate="2020-12-31T00:00:00"/>
        <groupItems count="14">
          <s v="&lt;1/1/2020"/>
          <s v="Jan"/>
          <s v="Feb"/>
          <s v="Mar"/>
          <s v="Apr"/>
          <s v="May"/>
          <s v="Jun"/>
          <s v="Jul"/>
          <s v="Aug"/>
          <s v="Sep"/>
          <s v="Oct"/>
          <s v="Nov"/>
          <s v="Dec"/>
          <s v="&gt;12/31/2020"/>
        </groupItems>
      </fieldGroup>
    </cacheField>
    <cacheField name="Sales (USD)" numFmtId="3">
      <sharedItems containsSemiMixedTypes="0" containsString="0" containsNumber="1" minValue="79.989999999999995" maxValue="15999"/>
    </cacheField>
  </cacheFields>
  <extLst>
    <ext xmlns:x14="http://schemas.microsoft.com/office/spreadsheetml/2009/9/main" uri="{725AE2AE-9491-48be-B2B4-4EB974FC3084}">
      <x14:pivotCacheDefinition pivotCacheId="2043594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9">
  <r>
    <x v="0"/>
    <x v="0"/>
    <x v="0"/>
    <x v="0"/>
    <x v="0"/>
    <n v="719.91"/>
  </r>
  <r>
    <x v="1"/>
    <x v="1"/>
    <x v="0"/>
    <x v="1"/>
    <x v="0"/>
    <n v="675.8"/>
  </r>
  <r>
    <x v="2"/>
    <x v="0"/>
    <x v="1"/>
    <x v="1"/>
    <x v="0"/>
    <n v="879.89"/>
  </r>
  <r>
    <x v="3"/>
    <x v="1"/>
    <x v="2"/>
    <x v="1"/>
    <x v="0"/>
    <n v="2534.25"/>
  </r>
  <r>
    <x v="4"/>
    <x v="2"/>
    <x v="2"/>
    <x v="2"/>
    <x v="0"/>
    <n v="2727.6"/>
  </r>
  <r>
    <x v="2"/>
    <x v="3"/>
    <x v="1"/>
    <x v="0"/>
    <x v="1"/>
    <n v="4091.3999999999996"/>
  </r>
  <r>
    <x v="5"/>
    <x v="2"/>
    <x v="3"/>
    <x v="3"/>
    <x v="1"/>
    <n v="1363.8"/>
  </r>
  <r>
    <x v="0"/>
    <x v="2"/>
    <x v="0"/>
    <x v="0"/>
    <x v="2"/>
    <n v="3068.5499999999997"/>
  </r>
  <r>
    <x v="2"/>
    <x v="3"/>
    <x v="1"/>
    <x v="1"/>
    <x v="2"/>
    <n v="681.9"/>
  </r>
  <r>
    <x v="6"/>
    <x v="0"/>
    <x v="3"/>
    <x v="4"/>
    <x v="3"/>
    <n v="559.92999999999995"/>
  </r>
  <r>
    <x v="7"/>
    <x v="3"/>
    <x v="0"/>
    <x v="4"/>
    <x v="3"/>
    <n v="681.9"/>
  </r>
  <r>
    <x v="2"/>
    <x v="1"/>
    <x v="1"/>
    <x v="3"/>
    <x v="3"/>
    <n v="2534.25"/>
  </r>
  <r>
    <x v="2"/>
    <x v="0"/>
    <x v="1"/>
    <x v="2"/>
    <x v="3"/>
    <n v="79.989999999999995"/>
  </r>
  <r>
    <x v="2"/>
    <x v="1"/>
    <x v="1"/>
    <x v="4"/>
    <x v="4"/>
    <n v="506.84999999999997"/>
  </r>
  <r>
    <x v="8"/>
    <x v="0"/>
    <x v="1"/>
    <x v="0"/>
    <x v="4"/>
    <n v="959.87999999999988"/>
  </r>
  <r>
    <x v="3"/>
    <x v="4"/>
    <x v="2"/>
    <x v="0"/>
    <x v="4"/>
    <n v="14399.1"/>
  </r>
  <r>
    <x v="0"/>
    <x v="1"/>
    <x v="0"/>
    <x v="0"/>
    <x v="4"/>
    <n v="3379"/>
  </r>
  <r>
    <x v="7"/>
    <x v="1"/>
    <x v="0"/>
    <x v="1"/>
    <x v="4"/>
    <n v="675.8"/>
  </r>
  <r>
    <x v="4"/>
    <x v="3"/>
    <x v="2"/>
    <x v="4"/>
    <x v="5"/>
    <n v="3750.45"/>
  </r>
  <r>
    <x v="1"/>
    <x v="3"/>
    <x v="0"/>
    <x v="4"/>
    <x v="5"/>
    <n v="340.95"/>
  </r>
  <r>
    <x v="5"/>
    <x v="2"/>
    <x v="3"/>
    <x v="3"/>
    <x v="5"/>
    <n v="2386.65"/>
  </r>
  <r>
    <x v="3"/>
    <x v="4"/>
    <x v="2"/>
    <x v="4"/>
    <x v="6"/>
    <n v="10399.35"/>
  </r>
  <r>
    <x v="8"/>
    <x v="4"/>
    <x v="1"/>
    <x v="4"/>
    <x v="6"/>
    <n v="5599.6500000000005"/>
  </r>
  <r>
    <x v="6"/>
    <x v="4"/>
    <x v="3"/>
    <x v="4"/>
    <x v="6"/>
    <n v="6399.6"/>
  </r>
  <r>
    <x v="9"/>
    <x v="0"/>
    <x v="2"/>
    <x v="0"/>
    <x v="6"/>
    <n v="1279.8399999999999"/>
  </r>
  <r>
    <x v="7"/>
    <x v="1"/>
    <x v="0"/>
    <x v="0"/>
    <x v="6"/>
    <n v="2703.2"/>
  </r>
  <r>
    <x v="8"/>
    <x v="1"/>
    <x v="1"/>
    <x v="3"/>
    <x v="6"/>
    <n v="1013.6999999999999"/>
  </r>
  <r>
    <x v="5"/>
    <x v="4"/>
    <x v="0"/>
    <x v="2"/>
    <x v="6"/>
    <n v="11999.25"/>
  </r>
  <r>
    <x v="5"/>
    <x v="3"/>
    <x v="0"/>
    <x v="2"/>
    <x v="6"/>
    <n v="3750.45"/>
  </r>
  <r>
    <x v="7"/>
    <x v="0"/>
    <x v="0"/>
    <x v="1"/>
    <x v="7"/>
    <n v="799.9"/>
  </r>
  <r>
    <x v="2"/>
    <x v="4"/>
    <x v="1"/>
    <x v="1"/>
    <x v="7"/>
    <n v="1599.9"/>
  </r>
  <r>
    <x v="2"/>
    <x v="3"/>
    <x v="1"/>
    <x v="1"/>
    <x v="7"/>
    <n v="2045.6999999999998"/>
  </r>
  <r>
    <x v="2"/>
    <x v="1"/>
    <x v="1"/>
    <x v="0"/>
    <x v="7"/>
    <n v="1013.6999999999999"/>
  </r>
  <r>
    <x v="6"/>
    <x v="1"/>
    <x v="3"/>
    <x v="2"/>
    <x v="7"/>
    <n v="1858.4499999999998"/>
  </r>
  <r>
    <x v="4"/>
    <x v="4"/>
    <x v="2"/>
    <x v="2"/>
    <x v="7"/>
    <n v="5599.6500000000005"/>
  </r>
  <r>
    <x v="1"/>
    <x v="1"/>
    <x v="0"/>
    <x v="2"/>
    <x v="8"/>
    <n v="168.95"/>
  </r>
  <r>
    <x v="2"/>
    <x v="3"/>
    <x v="1"/>
    <x v="0"/>
    <x v="9"/>
    <n v="4432.3499999999995"/>
  </r>
  <r>
    <x v="8"/>
    <x v="1"/>
    <x v="1"/>
    <x v="1"/>
    <x v="9"/>
    <n v="1689.5"/>
  </r>
  <r>
    <x v="0"/>
    <x v="3"/>
    <x v="0"/>
    <x v="1"/>
    <x v="9"/>
    <n v="1363.8"/>
  </r>
  <r>
    <x v="8"/>
    <x v="1"/>
    <x v="1"/>
    <x v="4"/>
    <x v="9"/>
    <n v="2534.25"/>
  </r>
  <r>
    <x v="6"/>
    <x v="0"/>
    <x v="3"/>
    <x v="4"/>
    <x v="9"/>
    <n v="959.87999999999988"/>
  </r>
  <r>
    <x v="8"/>
    <x v="1"/>
    <x v="1"/>
    <x v="0"/>
    <x v="9"/>
    <n v="2196.35"/>
  </r>
  <r>
    <x v="9"/>
    <x v="3"/>
    <x v="2"/>
    <x v="2"/>
    <x v="9"/>
    <n v="340.95"/>
  </r>
  <r>
    <x v="10"/>
    <x v="3"/>
    <x v="3"/>
    <x v="2"/>
    <x v="9"/>
    <n v="5114.25"/>
  </r>
  <r>
    <x v="8"/>
    <x v="1"/>
    <x v="1"/>
    <x v="0"/>
    <x v="10"/>
    <n v="1858.4499999999998"/>
  </r>
  <r>
    <x v="6"/>
    <x v="2"/>
    <x v="3"/>
    <x v="0"/>
    <x v="10"/>
    <n v="2386.65"/>
  </r>
  <r>
    <x v="8"/>
    <x v="0"/>
    <x v="1"/>
    <x v="4"/>
    <x v="11"/>
    <n v="879.89"/>
  </r>
  <r>
    <x v="7"/>
    <x v="4"/>
    <x v="0"/>
    <x v="0"/>
    <x v="11"/>
    <n v="4799.7000000000007"/>
  </r>
  <r>
    <x v="6"/>
    <x v="4"/>
    <x v="3"/>
    <x v="0"/>
    <x v="11"/>
    <n v="4799.7000000000007"/>
  </r>
  <r>
    <x v="2"/>
    <x v="2"/>
    <x v="1"/>
    <x v="2"/>
    <x v="11"/>
    <n v="4432.3499999999995"/>
  </r>
  <r>
    <x v="11"/>
    <x v="2"/>
    <x v="2"/>
    <x v="0"/>
    <x v="12"/>
    <n v="4773.3"/>
  </r>
  <r>
    <x v="3"/>
    <x v="1"/>
    <x v="2"/>
    <x v="1"/>
    <x v="12"/>
    <n v="1689.5"/>
  </r>
  <r>
    <x v="5"/>
    <x v="1"/>
    <x v="0"/>
    <x v="4"/>
    <x v="12"/>
    <n v="2534.25"/>
  </r>
  <r>
    <x v="0"/>
    <x v="2"/>
    <x v="0"/>
    <x v="1"/>
    <x v="12"/>
    <n v="4091.3999999999996"/>
  </r>
  <r>
    <x v="1"/>
    <x v="2"/>
    <x v="0"/>
    <x v="2"/>
    <x v="12"/>
    <n v="681.9"/>
  </r>
  <r>
    <x v="1"/>
    <x v="0"/>
    <x v="0"/>
    <x v="4"/>
    <x v="13"/>
    <n v="159.97999999999999"/>
  </r>
  <r>
    <x v="11"/>
    <x v="0"/>
    <x v="2"/>
    <x v="0"/>
    <x v="13"/>
    <n v="639.91999999999996"/>
  </r>
  <r>
    <x v="2"/>
    <x v="3"/>
    <x v="1"/>
    <x v="3"/>
    <x v="13"/>
    <n v="3409.5"/>
  </r>
  <r>
    <x v="0"/>
    <x v="4"/>
    <x v="0"/>
    <x v="4"/>
    <x v="14"/>
    <n v="2399.8500000000004"/>
  </r>
  <r>
    <x v="7"/>
    <x v="0"/>
    <x v="0"/>
    <x v="1"/>
    <x v="14"/>
    <n v="1119.8599999999999"/>
  </r>
  <r>
    <x v="0"/>
    <x v="2"/>
    <x v="0"/>
    <x v="2"/>
    <x v="14"/>
    <n v="2727.6"/>
  </r>
  <r>
    <x v="0"/>
    <x v="3"/>
    <x v="0"/>
    <x v="4"/>
    <x v="15"/>
    <n v="1363.8"/>
  </r>
  <r>
    <x v="10"/>
    <x v="4"/>
    <x v="3"/>
    <x v="1"/>
    <x v="15"/>
    <n v="7999.5"/>
  </r>
  <r>
    <x v="11"/>
    <x v="0"/>
    <x v="2"/>
    <x v="0"/>
    <x v="16"/>
    <n v="1599.8"/>
  </r>
  <r>
    <x v="3"/>
    <x v="3"/>
    <x v="2"/>
    <x v="1"/>
    <x v="17"/>
    <n v="2727.6"/>
  </r>
  <r>
    <x v="11"/>
    <x v="4"/>
    <x v="2"/>
    <x v="0"/>
    <x v="17"/>
    <n v="11999.25"/>
  </r>
  <r>
    <x v="6"/>
    <x v="3"/>
    <x v="3"/>
    <x v="3"/>
    <x v="17"/>
    <n v="3750.45"/>
  </r>
  <r>
    <x v="10"/>
    <x v="0"/>
    <x v="3"/>
    <x v="2"/>
    <x v="18"/>
    <n v="799.9"/>
  </r>
  <r>
    <x v="1"/>
    <x v="0"/>
    <x v="0"/>
    <x v="1"/>
    <x v="19"/>
    <n v="879.89"/>
  </r>
  <r>
    <x v="6"/>
    <x v="1"/>
    <x v="3"/>
    <x v="3"/>
    <x v="20"/>
    <n v="1858.4499999999998"/>
  </r>
  <r>
    <x v="6"/>
    <x v="2"/>
    <x v="3"/>
    <x v="4"/>
    <x v="21"/>
    <n v="4432.3499999999995"/>
  </r>
  <r>
    <x v="6"/>
    <x v="3"/>
    <x v="3"/>
    <x v="0"/>
    <x v="21"/>
    <n v="2386.65"/>
  </r>
  <r>
    <x v="5"/>
    <x v="4"/>
    <x v="0"/>
    <x v="4"/>
    <x v="21"/>
    <n v="1599.9"/>
  </r>
  <r>
    <x v="8"/>
    <x v="2"/>
    <x v="1"/>
    <x v="3"/>
    <x v="21"/>
    <n v="5114.25"/>
  </r>
  <r>
    <x v="9"/>
    <x v="4"/>
    <x v="2"/>
    <x v="1"/>
    <x v="21"/>
    <n v="8799.4500000000007"/>
  </r>
  <r>
    <x v="1"/>
    <x v="3"/>
    <x v="0"/>
    <x v="0"/>
    <x v="22"/>
    <n v="2727.6"/>
  </r>
  <r>
    <x v="9"/>
    <x v="3"/>
    <x v="2"/>
    <x v="0"/>
    <x v="22"/>
    <n v="5796.15"/>
  </r>
  <r>
    <x v="0"/>
    <x v="3"/>
    <x v="0"/>
    <x v="3"/>
    <x v="22"/>
    <n v="2727.6"/>
  </r>
  <r>
    <x v="0"/>
    <x v="4"/>
    <x v="0"/>
    <x v="4"/>
    <x v="23"/>
    <n v="7999.5"/>
  </r>
  <r>
    <x v="0"/>
    <x v="4"/>
    <x v="0"/>
    <x v="1"/>
    <x v="23"/>
    <n v="5599.6500000000005"/>
  </r>
  <r>
    <x v="2"/>
    <x v="1"/>
    <x v="1"/>
    <x v="4"/>
    <x v="23"/>
    <n v="1520.55"/>
  </r>
  <r>
    <x v="10"/>
    <x v="0"/>
    <x v="3"/>
    <x v="1"/>
    <x v="23"/>
    <n v="159.97999999999999"/>
  </r>
  <r>
    <x v="11"/>
    <x v="3"/>
    <x v="2"/>
    <x v="4"/>
    <x v="24"/>
    <n v="1363.8"/>
  </r>
  <r>
    <x v="6"/>
    <x v="2"/>
    <x v="3"/>
    <x v="1"/>
    <x v="24"/>
    <n v="2727.6"/>
  </r>
  <r>
    <x v="3"/>
    <x v="4"/>
    <x v="2"/>
    <x v="2"/>
    <x v="24"/>
    <n v="11999.25"/>
  </r>
  <r>
    <x v="6"/>
    <x v="4"/>
    <x v="3"/>
    <x v="3"/>
    <x v="25"/>
    <n v="3999.75"/>
  </r>
  <r>
    <x v="3"/>
    <x v="4"/>
    <x v="2"/>
    <x v="1"/>
    <x v="25"/>
    <n v="5599.6500000000005"/>
  </r>
  <r>
    <x v="0"/>
    <x v="2"/>
    <x v="0"/>
    <x v="1"/>
    <x v="25"/>
    <n v="2045.6999999999998"/>
  </r>
  <r>
    <x v="7"/>
    <x v="1"/>
    <x v="0"/>
    <x v="4"/>
    <x v="25"/>
    <n v="675.8"/>
  </r>
  <r>
    <x v="2"/>
    <x v="3"/>
    <x v="1"/>
    <x v="4"/>
    <x v="25"/>
    <n v="5114.25"/>
  </r>
  <r>
    <x v="6"/>
    <x v="0"/>
    <x v="3"/>
    <x v="1"/>
    <x v="26"/>
    <n v="399.95"/>
  </r>
  <r>
    <x v="0"/>
    <x v="1"/>
    <x v="0"/>
    <x v="0"/>
    <x v="27"/>
    <n v="2196.35"/>
  </r>
  <r>
    <x v="4"/>
    <x v="0"/>
    <x v="2"/>
    <x v="3"/>
    <x v="27"/>
    <n v="639.91999999999996"/>
  </r>
  <r>
    <x v="10"/>
    <x v="0"/>
    <x v="3"/>
    <x v="3"/>
    <x v="27"/>
    <n v="79.989999999999995"/>
  </r>
  <r>
    <x v="3"/>
    <x v="1"/>
    <x v="2"/>
    <x v="3"/>
    <x v="27"/>
    <n v="2196.35"/>
  </r>
  <r>
    <x v="3"/>
    <x v="2"/>
    <x v="2"/>
    <x v="0"/>
    <x v="28"/>
    <n v="4432.3499999999995"/>
  </r>
  <r>
    <x v="2"/>
    <x v="0"/>
    <x v="1"/>
    <x v="1"/>
    <x v="29"/>
    <n v="799.9"/>
  </r>
  <r>
    <x v="6"/>
    <x v="2"/>
    <x v="3"/>
    <x v="0"/>
    <x v="29"/>
    <n v="4091.3999999999996"/>
  </r>
  <r>
    <x v="6"/>
    <x v="2"/>
    <x v="3"/>
    <x v="2"/>
    <x v="29"/>
    <n v="3068.5499999999997"/>
  </r>
  <r>
    <x v="0"/>
    <x v="1"/>
    <x v="0"/>
    <x v="2"/>
    <x v="29"/>
    <n v="1013.6999999999999"/>
  </r>
  <r>
    <x v="4"/>
    <x v="2"/>
    <x v="2"/>
    <x v="0"/>
    <x v="30"/>
    <n v="2386.65"/>
  </r>
  <r>
    <x v="4"/>
    <x v="2"/>
    <x v="2"/>
    <x v="0"/>
    <x v="30"/>
    <n v="3750.45"/>
  </r>
  <r>
    <x v="7"/>
    <x v="2"/>
    <x v="0"/>
    <x v="0"/>
    <x v="30"/>
    <n v="3068.5499999999997"/>
  </r>
  <r>
    <x v="7"/>
    <x v="2"/>
    <x v="0"/>
    <x v="0"/>
    <x v="30"/>
    <n v="4091.3999999999996"/>
  </r>
  <r>
    <x v="0"/>
    <x v="2"/>
    <x v="0"/>
    <x v="0"/>
    <x v="30"/>
    <n v="5114.25"/>
  </r>
  <r>
    <x v="0"/>
    <x v="2"/>
    <x v="0"/>
    <x v="0"/>
    <x v="30"/>
    <n v="5796.15"/>
  </r>
  <r>
    <x v="8"/>
    <x v="2"/>
    <x v="1"/>
    <x v="1"/>
    <x v="30"/>
    <n v="4773.3"/>
  </r>
  <r>
    <x v="10"/>
    <x v="0"/>
    <x v="3"/>
    <x v="1"/>
    <x v="30"/>
    <n v="239.96999999999997"/>
  </r>
  <r>
    <x v="5"/>
    <x v="4"/>
    <x v="0"/>
    <x v="3"/>
    <x v="31"/>
    <n v="4799.7000000000007"/>
  </r>
  <r>
    <x v="7"/>
    <x v="0"/>
    <x v="0"/>
    <x v="3"/>
    <x v="31"/>
    <n v="79.989999999999995"/>
  </r>
  <r>
    <x v="2"/>
    <x v="0"/>
    <x v="1"/>
    <x v="3"/>
    <x v="32"/>
    <n v="719.91"/>
  </r>
  <r>
    <x v="2"/>
    <x v="0"/>
    <x v="1"/>
    <x v="3"/>
    <x v="32"/>
    <n v="1119.8599999999999"/>
  </r>
  <r>
    <x v="3"/>
    <x v="2"/>
    <x v="2"/>
    <x v="1"/>
    <x v="33"/>
    <n v="340.95"/>
  </r>
  <r>
    <x v="3"/>
    <x v="2"/>
    <x v="2"/>
    <x v="1"/>
    <x v="33"/>
    <n v="1022.8499999999999"/>
  </r>
  <r>
    <x v="3"/>
    <x v="4"/>
    <x v="2"/>
    <x v="3"/>
    <x v="34"/>
    <n v="3199.8"/>
  </r>
  <r>
    <x v="3"/>
    <x v="4"/>
    <x v="2"/>
    <x v="3"/>
    <x v="34"/>
    <n v="8799.4500000000007"/>
  </r>
  <r>
    <x v="11"/>
    <x v="1"/>
    <x v="2"/>
    <x v="4"/>
    <x v="34"/>
    <n v="2365.2999999999997"/>
  </r>
  <r>
    <x v="3"/>
    <x v="2"/>
    <x v="2"/>
    <x v="0"/>
    <x v="34"/>
    <n v="3750.45"/>
  </r>
  <r>
    <x v="4"/>
    <x v="2"/>
    <x v="2"/>
    <x v="3"/>
    <x v="34"/>
    <n v="2386.65"/>
  </r>
  <r>
    <x v="11"/>
    <x v="4"/>
    <x v="2"/>
    <x v="3"/>
    <x v="34"/>
    <n v="8799.4500000000007"/>
  </r>
  <r>
    <x v="9"/>
    <x v="1"/>
    <x v="2"/>
    <x v="2"/>
    <x v="34"/>
    <n v="1182.6499999999999"/>
  </r>
  <r>
    <x v="9"/>
    <x v="3"/>
    <x v="2"/>
    <x v="4"/>
    <x v="35"/>
    <n v="1363.8"/>
  </r>
  <r>
    <x v="9"/>
    <x v="3"/>
    <x v="2"/>
    <x v="4"/>
    <x v="35"/>
    <n v="2045.6999999999998"/>
  </r>
  <r>
    <x v="0"/>
    <x v="1"/>
    <x v="0"/>
    <x v="0"/>
    <x v="35"/>
    <n v="1351.6"/>
  </r>
  <r>
    <x v="0"/>
    <x v="1"/>
    <x v="0"/>
    <x v="0"/>
    <x v="35"/>
    <n v="2196.35"/>
  </r>
  <r>
    <x v="0"/>
    <x v="0"/>
    <x v="0"/>
    <x v="0"/>
    <x v="35"/>
    <n v="639.91999999999996"/>
  </r>
  <r>
    <x v="0"/>
    <x v="0"/>
    <x v="0"/>
    <x v="0"/>
    <x v="35"/>
    <n v="1119.8599999999999"/>
  </r>
  <r>
    <x v="4"/>
    <x v="0"/>
    <x v="2"/>
    <x v="0"/>
    <x v="36"/>
    <n v="1359.83"/>
  </r>
  <r>
    <x v="9"/>
    <x v="4"/>
    <x v="2"/>
    <x v="3"/>
    <x v="37"/>
    <n v="799.95"/>
  </r>
  <r>
    <x v="1"/>
    <x v="1"/>
    <x v="0"/>
    <x v="1"/>
    <x v="37"/>
    <n v="1858.4499999999998"/>
  </r>
  <r>
    <x v="7"/>
    <x v="1"/>
    <x v="0"/>
    <x v="0"/>
    <x v="38"/>
    <n v="2365.2999999999997"/>
  </r>
  <r>
    <x v="3"/>
    <x v="3"/>
    <x v="2"/>
    <x v="3"/>
    <x v="39"/>
    <n v="681.9"/>
  </r>
  <r>
    <x v="6"/>
    <x v="3"/>
    <x v="3"/>
    <x v="2"/>
    <x v="39"/>
    <n v="5114.25"/>
  </r>
  <r>
    <x v="9"/>
    <x v="4"/>
    <x v="2"/>
    <x v="4"/>
    <x v="40"/>
    <n v="7199.55"/>
  </r>
  <r>
    <x v="7"/>
    <x v="0"/>
    <x v="0"/>
    <x v="0"/>
    <x v="40"/>
    <n v="1199.8499999999999"/>
  </r>
  <r>
    <x v="3"/>
    <x v="4"/>
    <x v="2"/>
    <x v="0"/>
    <x v="40"/>
    <n v="11199.300000000001"/>
  </r>
  <r>
    <x v="0"/>
    <x v="0"/>
    <x v="0"/>
    <x v="0"/>
    <x v="40"/>
    <n v="1599.8"/>
  </r>
  <r>
    <x v="1"/>
    <x v="4"/>
    <x v="0"/>
    <x v="3"/>
    <x v="40"/>
    <n v="3999.75"/>
  </r>
  <r>
    <x v="3"/>
    <x v="3"/>
    <x v="2"/>
    <x v="4"/>
    <x v="40"/>
    <n v="2386.65"/>
  </r>
  <r>
    <x v="1"/>
    <x v="4"/>
    <x v="0"/>
    <x v="0"/>
    <x v="41"/>
    <n v="14399.1"/>
  </r>
  <r>
    <x v="6"/>
    <x v="1"/>
    <x v="3"/>
    <x v="3"/>
    <x v="41"/>
    <n v="1351.6"/>
  </r>
  <r>
    <x v="2"/>
    <x v="4"/>
    <x v="1"/>
    <x v="1"/>
    <x v="41"/>
    <n v="3199.8"/>
  </r>
  <r>
    <x v="1"/>
    <x v="4"/>
    <x v="0"/>
    <x v="3"/>
    <x v="42"/>
    <n v="11199.300000000001"/>
  </r>
  <r>
    <x v="3"/>
    <x v="2"/>
    <x v="2"/>
    <x v="0"/>
    <x v="43"/>
    <n v="6137.0999999999995"/>
  </r>
  <r>
    <x v="8"/>
    <x v="2"/>
    <x v="1"/>
    <x v="1"/>
    <x v="43"/>
    <n v="681.9"/>
  </r>
  <r>
    <x v="6"/>
    <x v="3"/>
    <x v="3"/>
    <x v="4"/>
    <x v="43"/>
    <n v="2045.6999999999998"/>
  </r>
  <r>
    <x v="10"/>
    <x v="0"/>
    <x v="3"/>
    <x v="4"/>
    <x v="43"/>
    <n v="239.96999999999997"/>
  </r>
  <r>
    <x v="7"/>
    <x v="2"/>
    <x v="0"/>
    <x v="0"/>
    <x v="43"/>
    <n v="6478.05"/>
  </r>
  <r>
    <x v="4"/>
    <x v="4"/>
    <x v="2"/>
    <x v="2"/>
    <x v="43"/>
    <n v="10399.35"/>
  </r>
  <r>
    <x v="3"/>
    <x v="4"/>
    <x v="2"/>
    <x v="0"/>
    <x v="44"/>
    <n v="13599.150000000001"/>
  </r>
  <r>
    <x v="4"/>
    <x v="2"/>
    <x v="2"/>
    <x v="3"/>
    <x v="44"/>
    <n v="4091.3999999999996"/>
  </r>
  <r>
    <x v="0"/>
    <x v="2"/>
    <x v="0"/>
    <x v="4"/>
    <x v="45"/>
    <n v="3750.45"/>
  </r>
  <r>
    <x v="11"/>
    <x v="2"/>
    <x v="2"/>
    <x v="3"/>
    <x v="46"/>
    <n v="2045.6999999999998"/>
  </r>
  <r>
    <x v="10"/>
    <x v="2"/>
    <x v="3"/>
    <x v="2"/>
    <x v="46"/>
    <n v="1022.8499999999999"/>
  </r>
  <r>
    <x v="3"/>
    <x v="3"/>
    <x v="2"/>
    <x v="1"/>
    <x v="47"/>
    <n v="4773.3"/>
  </r>
  <r>
    <x v="7"/>
    <x v="0"/>
    <x v="0"/>
    <x v="3"/>
    <x v="47"/>
    <n v="479.93999999999994"/>
  </r>
  <r>
    <x v="5"/>
    <x v="1"/>
    <x v="0"/>
    <x v="2"/>
    <x v="47"/>
    <n v="1351.6"/>
  </r>
  <r>
    <x v="3"/>
    <x v="4"/>
    <x v="2"/>
    <x v="4"/>
    <x v="48"/>
    <n v="7199.55"/>
  </r>
  <r>
    <x v="7"/>
    <x v="3"/>
    <x v="0"/>
    <x v="1"/>
    <x v="49"/>
    <n v="3750.45"/>
  </r>
  <r>
    <x v="0"/>
    <x v="3"/>
    <x v="0"/>
    <x v="1"/>
    <x v="49"/>
    <n v="3750.45"/>
  </r>
  <r>
    <x v="4"/>
    <x v="3"/>
    <x v="2"/>
    <x v="2"/>
    <x v="50"/>
    <n v="4091.3999999999996"/>
  </r>
  <r>
    <x v="2"/>
    <x v="1"/>
    <x v="1"/>
    <x v="4"/>
    <x v="51"/>
    <n v="675.8"/>
  </r>
  <r>
    <x v="7"/>
    <x v="3"/>
    <x v="0"/>
    <x v="0"/>
    <x v="51"/>
    <n v="6819"/>
  </r>
  <r>
    <x v="9"/>
    <x v="4"/>
    <x v="2"/>
    <x v="2"/>
    <x v="51"/>
    <n v="10399.35"/>
  </r>
  <r>
    <x v="2"/>
    <x v="0"/>
    <x v="1"/>
    <x v="1"/>
    <x v="52"/>
    <n v="799.9"/>
  </r>
  <r>
    <x v="3"/>
    <x v="0"/>
    <x v="2"/>
    <x v="4"/>
    <x v="53"/>
    <n v="959.87999999999988"/>
  </r>
  <r>
    <x v="4"/>
    <x v="1"/>
    <x v="2"/>
    <x v="0"/>
    <x v="53"/>
    <n v="1351.6"/>
  </r>
  <r>
    <x v="8"/>
    <x v="1"/>
    <x v="1"/>
    <x v="4"/>
    <x v="54"/>
    <n v="1858.4499999999998"/>
  </r>
  <r>
    <x v="3"/>
    <x v="3"/>
    <x v="2"/>
    <x v="2"/>
    <x v="55"/>
    <n v="340.95"/>
  </r>
  <r>
    <x v="10"/>
    <x v="2"/>
    <x v="3"/>
    <x v="3"/>
    <x v="56"/>
    <n v="681.9"/>
  </r>
  <r>
    <x v="10"/>
    <x v="0"/>
    <x v="3"/>
    <x v="3"/>
    <x v="56"/>
    <n v="159.97999999999999"/>
  </r>
  <r>
    <x v="11"/>
    <x v="3"/>
    <x v="2"/>
    <x v="1"/>
    <x v="56"/>
    <n v="4091.3999999999996"/>
  </r>
  <r>
    <x v="4"/>
    <x v="4"/>
    <x v="2"/>
    <x v="4"/>
    <x v="57"/>
    <n v="6399.6"/>
  </r>
  <r>
    <x v="9"/>
    <x v="1"/>
    <x v="2"/>
    <x v="1"/>
    <x v="57"/>
    <n v="2534.25"/>
  </r>
  <r>
    <x v="0"/>
    <x v="2"/>
    <x v="0"/>
    <x v="2"/>
    <x v="57"/>
    <n v="2045.6999999999998"/>
  </r>
  <r>
    <x v="9"/>
    <x v="2"/>
    <x v="2"/>
    <x v="0"/>
    <x v="58"/>
    <n v="5796.15"/>
  </r>
  <r>
    <x v="6"/>
    <x v="2"/>
    <x v="3"/>
    <x v="3"/>
    <x v="58"/>
    <n v="681.9"/>
  </r>
  <r>
    <x v="9"/>
    <x v="2"/>
    <x v="2"/>
    <x v="3"/>
    <x v="58"/>
    <n v="3068.5499999999997"/>
  </r>
  <r>
    <x v="3"/>
    <x v="4"/>
    <x v="2"/>
    <x v="3"/>
    <x v="58"/>
    <n v="6399.6"/>
  </r>
  <r>
    <x v="0"/>
    <x v="3"/>
    <x v="0"/>
    <x v="4"/>
    <x v="59"/>
    <n v="1704.75"/>
  </r>
  <r>
    <x v="11"/>
    <x v="2"/>
    <x v="2"/>
    <x v="4"/>
    <x v="59"/>
    <n v="4432.3499999999995"/>
  </r>
  <r>
    <x v="4"/>
    <x v="4"/>
    <x v="2"/>
    <x v="0"/>
    <x v="59"/>
    <n v="7199.55"/>
  </r>
  <r>
    <x v="7"/>
    <x v="3"/>
    <x v="0"/>
    <x v="3"/>
    <x v="59"/>
    <n v="3750.45"/>
  </r>
  <r>
    <x v="5"/>
    <x v="4"/>
    <x v="0"/>
    <x v="0"/>
    <x v="60"/>
    <n v="6399.6"/>
  </r>
  <r>
    <x v="2"/>
    <x v="2"/>
    <x v="1"/>
    <x v="2"/>
    <x v="60"/>
    <n v="1363.8"/>
  </r>
  <r>
    <x v="7"/>
    <x v="4"/>
    <x v="0"/>
    <x v="4"/>
    <x v="61"/>
    <n v="8799.4500000000007"/>
  </r>
  <r>
    <x v="0"/>
    <x v="0"/>
    <x v="0"/>
    <x v="4"/>
    <x v="62"/>
    <n v="719.91"/>
  </r>
  <r>
    <x v="6"/>
    <x v="0"/>
    <x v="3"/>
    <x v="2"/>
    <x v="62"/>
    <n v="79.989999999999995"/>
  </r>
  <r>
    <x v="1"/>
    <x v="2"/>
    <x v="0"/>
    <x v="2"/>
    <x v="62"/>
    <n v="3750.45"/>
  </r>
  <r>
    <x v="4"/>
    <x v="3"/>
    <x v="2"/>
    <x v="1"/>
    <x v="62"/>
    <n v="1363.8"/>
  </r>
  <r>
    <x v="10"/>
    <x v="3"/>
    <x v="3"/>
    <x v="2"/>
    <x v="62"/>
    <n v="2727.6"/>
  </r>
  <r>
    <x v="8"/>
    <x v="0"/>
    <x v="1"/>
    <x v="4"/>
    <x v="63"/>
    <n v="399.95"/>
  </r>
  <r>
    <x v="11"/>
    <x v="0"/>
    <x v="2"/>
    <x v="0"/>
    <x v="63"/>
    <n v="1439.82"/>
  </r>
  <r>
    <x v="3"/>
    <x v="0"/>
    <x v="2"/>
    <x v="1"/>
    <x v="63"/>
    <n v="719.91"/>
  </r>
  <r>
    <x v="1"/>
    <x v="1"/>
    <x v="0"/>
    <x v="1"/>
    <x v="64"/>
    <n v="2027.3999999999999"/>
  </r>
  <r>
    <x v="4"/>
    <x v="3"/>
    <x v="2"/>
    <x v="3"/>
    <x v="65"/>
    <n v="340.95"/>
  </r>
  <r>
    <x v="1"/>
    <x v="4"/>
    <x v="0"/>
    <x v="3"/>
    <x v="65"/>
    <n v="7199.55"/>
  </r>
  <r>
    <x v="4"/>
    <x v="0"/>
    <x v="2"/>
    <x v="4"/>
    <x v="66"/>
    <n v="79.989999999999995"/>
  </r>
  <r>
    <x v="7"/>
    <x v="3"/>
    <x v="0"/>
    <x v="0"/>
    <x v="67"/>
    <n v="5455.2"/>
  </r>
  <r>
    <x v="9"/>
    <x v="4"/>
    <x v="2"/>
    <x v="2"/>
    <x v="68"/>
    <n v="7999.5"/>
  </r>
  <r>
    <x v="3"/>
    <x v="4"/>
    <x v="2"/>
    <x v="1"/>
    <x v="69"/>
    <n v="6399.6"/>
  </r>
  <r>
    <x v="0"/>
    <x v="0"/>
    <x v="0"/>
    <x v="0"/>
    <x v="70"/>
    <n v="1599.8"/>
  </r>
  <r>
    <x v="9"/>
    <x v="3"/>
    <x v="2"/>
    <x v="2"/>
    <x v="70"/>
    <n v="2045.6999999999998"/>
  </r>
  <r>
    <x v="9"/>
    <x v="2"/>
    <x v="2"/>
    <x v="0"/>
    <x v="70"/>
    <n v="6137.0999999999995"/>
  </r>
  <r>
    <x v="6"/>
    <x v="3"/>
    <x v="3"/>
    <x v="3"/>
    <x v="70"/>
    <n v="1363.8"/>
  </r>
  <r>
    <x v="7"/>
    <x v="1"/>
    <x v="0"/>
    <x v="1"/>
    <x v="70"/>
    <n v="1520.55"/>
  </r>
  <r>
    <x v="0"/>
    <x v="2"/>
    <x v="0"/>
    <x v="3"/>
    <x v="71"/>
    <n v="1363.8"/>
  </r>
  <r>
    <x v="4"/>
    <x v="3"/>
    <x v="2"/>
    <x v="0"/>
    <x v="72"/>
    <n v="6819"/>
  </r>
  <r>
    <x v="2"/>
    <x v="4"/>
    <x v="1"/>
    <x v="0"/>
    <x v="72"/>
    <n v="5599.6500000000005"/>
  </r>
  <r>
    <x v="7"/>
    <x v="2"/>
    <x v="0"/>
    <x v="3"/>
    <x v="72"/>
    <n v="2045.6999999999998"/>
  </r>
  <r>
    <x v="9"/>
    <x v="3"/>
    <x v="2"/>
    <x v="4"/>
    <x v="73"/>
    <n v="5114.25"/>
  </r>
  <r>
    <x v="6"/>
    <x v="1"/>
    <x v="3"/>
    <x v="3"/>
    <x v="74"/>
    <n v="2365.2999999999997"/>
  </r>
  <r>
    <x v="4"/>
    <x v="0"/>
    <x v="2"/>
    <x v="0"/>
    <x v="75"/>
    <n v="719.91"/>
  </r>
  <r>
    <x v="5"/>
    <x v="2"/>
    <x v="3"/>
    <x v="2"/>
    <x v="75"/>
    <n v="3409.5"/>
  </r>
  <r>
    <x v="5"/>
    <x v="3"/>
    <x v="0"/>
    <x v="2"/>
    <x v="75"/>
    <n v="4432.3499999999995"/>
  </r>
  <r>
    <x v="0"/>
    <x v="4"/>
    <x v="0"/>
    <x v="1"/>
    <x v="76"/>
    <n v="5599.6500000000005"/>
  </r>
  <r>
    <x v="5"/>
    <x v="2"/>
    <x v="3"/>
    <x v="2"/>
    <x v="76"/>
    <n v="3068.5499999999997"/>
  </r>
  <r>
    <x v="3"/>
    <x v="4"/>
    <x v="2"/>
    <x v="0"/>
    <x v="76"/>
    <n v="9599.4000000000015"/>
  </r>
  <r>
    <x v="5"/>
    <x v="2"/>
    <x v="3"/>
    <x v="3"/>
    <x v="76"/>
    <n v="1363.8"/>
  </r>
  <r>
    <x v="10"/>
    <x v="3"/>
    <x v="3"/>
    <x v="4"/>
    <x v="77"/>
    <n v="2045.6999999999998"/>
  </r>
  <r>
    <x v="4"/>
    <x v="0"/>
    <x v="2"/>
    <x v="1"/>
    <x v="78"/>
    <n v="479.93999999999994"/>
  </r>
  <r>
    <x v="6"/>
    <x v="0"/>
    <x v="3"/>
    <x v="3"/>
    <x v="78"/>
    <n v="159.97999999999999"/>
  </r>
  <r>
    <x v="10"/>
    <x v="1"/>
    <x v="3"/>
    <x v="1"/>
    <x v="78"/>
    <n v="2534.25"/>
  </r>
  <r>
    <x v="8"/>
    <x v="1"/>
    <x v="1"/>
    <x v="4"/>
    <x v="79"/>
    <n v="2365.2999999999997"/>
  </r>
  <r>
    <x v="6"/>
    <x v="3"/>
    <x v="3"/>
    <x v="3"/>
    <x v="79"/>
    <n v="1022.8499999999999"/>
  </r>
  <r>
    <x v="0"/>
    <x v="2"/>
    <x v="0"/>
    <x v="2"/>
    <x v="80"/>
    <n v="1704.75"/>
  </r>
  <r>
    <x v="11"/>
    <x v="1"/>
    <x v="2"/>
    <x v="2"/>
    <x v="81"/>
    <n v="1520.55"/>
  </r>
  <r>
    <x v="1"/>
    <x v="2"/>
    <x v="0"/>
    <x v="1"/>
    <x v="82"/>
    <n v="1022.8499999999999"/>
  </r>
  <r>
    <x v="0"/>
    <x v="3"/>
    <x v="0"/>
    <x v="4"/>
    <x v="82"/>
    <n v="1363.8"/>
  </r>
  <r>
    <x v="8"/>
    <x v="2"/>
    <x v="1"/>
    <x v="3"/>
    <x v="82"/>
    <n v="3409.5"/>
  </r>
  <r>
    <x v="4"/>
    <x v="3"/>
    <x v="2"/>
    <x v="3"/>
    <x v="82"/>
    <n v="3409.5"/>
  </r>
  <r>
    <x v="1"/>
    <x v="3"/>
    <x v="0"/>
    <x v="0"/>
    <x v="83"/>
    <n v="6137.0999999999995"/>
  </r>
  <r>
    <x v="7"/>
    <x v="1"/>
    <x v="0"/>
    <x v="3"/>
    <x v="83"/>
    <n v="2196.35"/>
  </r>
  <r>
    <x v="4"/>
    <x v="3"/>
    <x v="2"/>
    <x v="1"/>
    <x v="83"/>
    <n v="3750.45"/>
  </r>
  <r>
    <x v="9"/>
    <x v="0"/>
    <x v="2"/>
    <x v="1"/>
    <x v="83"/>
    <n v="1039.8699999999999"/>
  </r>
  <r>
    <x v="6"/>
    <x v="3"/>
    <x v="3"/>
    <x v="2"/>
    <x v="83"/>
    <n v="2045.6999999999998"/>
  </r>
  <r>
    <x v="9"/>
    <x v="3"/>
    <x v="2"/>
    <x v="2"/>
    <x v="83"/>
    <n v="681.9"/>
  </r>
  <r>
    <x v="0"/>
    <x v="2"/>
    <x v="0"/>
    <x v="1"/>
    <x v="83"/>
    <n v="1363.8"/>
  </r>
  <r>
    <x v="1"/>
    <x v="0"/>
    <x v="0"/>
    <x v="4"/>
    <x v="84"/>
    <n v="1039.8699999999999"/>
  </r>
  <r>
    <x v="5"/>
    <x v="3"/>
    <x v="0"/>
    <x v="3"/>
    <x v="84"/>
    <n v="2045.6999999999998"/>
  </r>
  <r>
    <x v="0"/>
    <x v="3"/>
    <x v="0"/>
    <x v="1"/>
    <x v="84"/>
    <n v="2045.6999999999998"/>
  </r>
  <r>
    <x v="8"/>
    <x v="1"/>
    <x v="1"/>
    <x v="1"/>
    <x v="85"/>
    <n v="506.84999999999997"/>
  </r>
  <r>
    <x v="10"/>
    <x v="3"/>
    <x v="3"/>
    <x v="4"/>
    <x v="86"/>
    <n v="2386.65"/>
  </r>
  <r>
    <x v="11"/>
    <x v="1"/>
    <x v="2"/>
    <x v="0"/>
    <x v="86"/>
    <n v="1351.6"/>
  </r>
  <r>
    <x v="3"/>
    <x v="3"/>
    <x v="2"/>
    <x v="0"/>
    <x v="86"/>
    <n v="5114.25"/>
  </r>
  <r>
    <x v="11"/>
    <x v="2"/>
    <x v="2"/>
    <x v="1"/>
    <x v="86"/>
    <n v="1363.8"/>
  </r>
  <r>
    <x v="1"/>
    <x v="1"/>
    <x v="0"/>
    <x v="3"/>
    <x v="87"/>
    <n v="1689.5"/>
  </r>
  <r>
    <x v="6"/>
    <x v="3"/>
    <x v="3"/>
    <x v="1"/>
    <x v="87"/>
    <n v="4773.3"/>
  </r>
  <r>
    <x v="5"/>
    <x v="2"/>
    <x v="3"/>
    <x v="2"/>
    <x v="87"/>
    <n v="2727.6"/>
  </r>
  <r>
    <x v="4"/>
    <x v="4"/>
    <x v="2"/>
    <x v="1"/>
    <x v="88"/>
    <n v="3199.8"/>
  </r>
  <r>
    <x v="0"/>
    <x v="3"/>
    <x v="0"/>
    <x v="1"/>
    <x v="88"/>
    <n v="1363.8"/>
  </r>
  <r>
    <x v="0"/>
    <x v="3"/>
    <x v="0"/>
    <x v="3"/>
    <x v="88"/>
    <n v="4091.3999999999996"/>
  </r>
  <r>
    <x v="9"/>
    <x v="3"/>
    <x v="2"/>
    <x v="4"/>
    <x v="89"/>
    <n v="2045.6999999999998"/>
  </r>
  <r>
    <x v="6"/>
    <x v="4"/>
    <x v="3"/>
    <x v="0"/>
    <x v="89"/>
    <n v="5599.6500000000005"/>
  </r>
  <r>
    <x v="9"/>
    <x v="1"/>
    <x v="2"/>
    <x v="2"/>
    <x v="89"/>
    <n v="2027.3999999999999"/>
  </r>
  <r>
    <x v="3"/>
    <x v="4"/>
    <x v="2"/>
    <x v="2"/>
    <x v="89"/>
    <n v="7199.55"/>
  </r>
  <r>
    <x v="5"/>
    <x v="0"/>
    <x v="0"/>
    <x v="0"/>
    <x v="90"/>
    <n v="959.87999999999988"/>
  </r>
  <r>
    <x v="5"/>
    <x v="0"/>
    <x v="0"/>
    <x v="2"/>
    <x v="90"/>
    <n v="959.87999999999988"/>
  </r>
  <r>
    <x v="6"/>
    <x v="2"/>
    <x v="3"/>
    <x v="1"/>
    <x v="90"/>
    <n v="4091.3999999999996"/>
  </r>
  <r>
    <x v="4"/>
    <x v="4"/>
    <x v="2"/>
    <x v="1"/>
    <x v="90"/>
    <n v="10399.35"/>
  </r>
  <r>
    <x v="9"/>
    <x v="0"/>
    <x v="2"/>
    <x v="1"/>
    <x v="90"/>
    <n v="559.92999999999995"/>
  </r>
  <r>
    <x v="1"/>
    <x v="0"/>
    <x v="0"/>
    <x v="3"/>
    <x v="91"/>
    <n v="639.91999999999996"/>
  </r>
  <r>
    <x v="7"/>
    <x v="3"/>
    <x v="0"/>
    <x v="1"/>
    <x v="92"/>
    <n v="1704.75"/>
  </r>
  <r>
    <x v="4"/>
    <x v="4"/>
    <x v="2"/>
    <x v="1"/>
    <x v="93"/>
    <n v="6399.6"/>
  </r>
  <r>
    <x v="11"/>
    <x v="1"/>
    <x v="2"/>
    <x v="4"/>
    <x v="93"/>
    <n v="168.95"/>
  </r>
  <r>
    <x v="7"/>
    <x v="0"/>
    <x v="0"/>
    <x v="0"/>
    <x v="93"/>
    <n v="559.92999999999995"/>
  </r>
  <r>
    <x v="9"/>
    <x v="3"/>
    <x v="2"/>
    <x v="4"/>
    <x v="94"/>
    <n v="681.9"/>
  </r>
  <r>
    <x v="4"/>
    <x v="0"/>
    <x v="2"/>
    <x v="0"/>
    <x v="94"/>
    <n v="879.89"/>
  </r>
  <r>
    <x v="5"/>
    <x v="3"/>
    <x v="0"/>
    <x v="3"/>
    <x v="94"/>
    <n v="340.95"/>
  </r>
  <r>
    <x v="3"/>
    <x v="1"/>
    <x v="2"/>
    <x v="3"/>
    <x v="94"/>
    <n v="2027.3999999999999"/>
  </r>
  <r>
    <x v="7"/>
    <x v="4"/>
    <x v="0"/>
    <x v="2"/>
    <x v="94"/>
    <n v="3999.75"/>
  </r>
  <r>
    <x v="6"/>
    <x v="1"/>
    <x v="3"/>
    <x v="2"/>
    <x v="95"/>
    <n v="2027.3999999999999"/>
  </r>
  <r>
    <x v="10"/>
    <x v="3"/>
    <x v="3"/>
    <x v="3"/>
    <x v="95"/>
    <n v="681.9"/>
  </r>
  <r>
    <x v="4"/>
    <x v="2"/>
    <x v="2"/>
    <x v="4"/>
    <x v="96"/>
    <n v="2727.6"/>
  </r>
  <r>
    <x v="5"/>
    <x v="0"/>
    <x v="0"/>
    <x v="0"/>
    <x v="96"/>
    <n v="799.9"/>
  </r>
  <r>
    <x v="7"/>
    <x v="3"/>
    <x v="0"/>
    <x v="3"/>
    <x v="96"/>
    <n v="1363.8"/>
  </r>
  <r>
    <x v="4"/>
    <x v="0"/>
    <x v="2"/>
    <x v="1"/>
    <x v="96"/>
    <n v="559.92999999999995"/>
  </r>
  <r>
    <x v="0"/>
    <x v="3"/>
    <x v="0"/>
    <x v="2"/>
    <x v="96"/>
    <n v="2386.65"/>
  </r>
  <r>
    <x v="10"/>
    <x v="4"/>
    <x v="3"/>
    <x v="1"/>
    <x v="96"/>
    <n v="11199.300000000001"/>
  </r>
  <r>
    <x v="4"/>
    <x v="4"/>
    <x v="2"/>
    <x v="0"/>
    <x v="97"/>
    <n v="12799.2"/>
  </r>
  <r>
    <x v="2"/>
    <x v="0"/>
    <x v="1"/>
    <x v="1"/>
    <x v="97"/>
    <n v="719.91"/>
  </r>
  <r>
    <x v="0"/>
    <x v="4"/>
    <x v="0"/>
    <x v="3"/>
    <x v="98"/>
    <n v="7999.5"/>
  </r>
  <r>
    <x v="3"/>
    <x v="4"/>
    <x v="2"/>
    <x v="2"/>
    <x v="99"/>
    <n v="6399.6"/>
  </r>
  <r>
    <x v="2"/>
    <x v="4"/>
    <x v="1"/>
    <x v="4"/>
    <x v="99"/>
    <n v="6399.6"/>
  </r>
  <r>
    <x v="7"/>
    <x v="4"/>
    <x v="0"/>
    <x v="3"/>
    <x v="100"/>
    <n v="1599.9"/>
  </r>
  <r>
    <x v="3"/>
    <x v="3"/>
    <x v="2"/>
    <x v="3"/>
    <x v="100"/>
    <n v="3750.45"/>
  </r>
  <r>
    <x v="6"/>
    <x v="4"/>
    <x v="3"/>
    <x v="0"/>
    <x v="100"/>
    <n v="8799.4500000000007"/>
  </r>
  <r>
    <x v="4"/>
    <x v="0"/>
    <x v="2"/>
    <x v="1"/>
    <x v="100"/>
    <n v="479.93999999999994"/>
  </r>
  <r>
    <x v="0"/>
    <x v="2"/>
    <x v="0"/>
    <x v="4"/>
    <x v="101"/>
    <n v="2727.6"/>
  </r>
  <r>
    <x v="3"/>
    <x v="1"/>
    <x v="2"/>
    <x v="2"/>
    <x v="101"/>
    <n v="2027.3999999999999"/>
  </r>
  <r>
    <x v="2"/>
    <x v="4"/>
    <x v="1"/>
    <x v="2"/>
    <x v="101"/>
    <n v="7199.55"/>
  </r>
  <r>
    <x v="2"/>
    <x v="0"/>
    <x v="1"/>
    <x v="3"/>
    <x v="102"/>
    <n v="79.989999999999995"/>
  </r>
  <r>
    <x v="5"/>
    <x v="3"/>
    <x v="0"/>
    <x v="1"/>
    <x v="102"/>
    <n v="1363.8"/>
  </r>
  <r>
    <x v="10"/>
    <x v="4"/>
    <x v="3"/>
    <x v="0"/>
    <x v="103"/>
    <n v="15999"/>
  </r>
  <r>
    <x v="11"/>
    <x v="1"/>
    <x v="2"/>
    <x v="2"/>
    <x v="103"/>
    <n v="168.95"/>
  </r>
  <r>
    <x v="10"/>
    <x v="2"/>
    <x v="3"/>
    <x v="4"/>
    <x v="104"/>
    <n v="3409.5"/>
  </r>
  <r>
    <x v="5"/>
    <x v="2"/>
    <x v="3"/>
    <x v="1"/>
    <x v="104"/>
    <n v="340.95"/>
  </r>
  <r>
    <x v="9"/>
    <x v="1"/>
    <x v="2"/>
    <x v="4"/>
    <x v="105"/>
    <n v="1182.6499999999999"/>
  </r>
  <r>
    <x v="4"/>
    <x v="0"/>
    <x v="2"/>
    <x v="3"/>
    <x v="105"/>
    <n v="879.89"/>
  </r>
  <r>
    <x v="5"/>
    <x v="2"/>
    <x v="3"/>
    <x v="2"/>
    <x v="105"/>
    <n v="3068.5499999999997"/>
  </r>
  <r>
    <x v="2"/>
    <x v="0"/>
    <x v="1"/>
    <x v="2"/>
    <x v="105"/>
    <n v="559.92999999999995"/>
  </r>
  <r>
    <x v="6"/>
    <x v="3"/>
    <x v="3"/>
    <x v="4"/>
    <x v="106"/>
    <n v="681.9"/>
  </r>
  <r>
    <x v="4"/>
    <x v="1"/>
    <x v="2"/>
    <x v="3"/>
    <x v="106"/>
    <n v="506.84999999999997"/>
  </r>
  <r>
    <x v="9"/>
    <x v="4"/>
    <x v="2"/>
    <x v="2"/>
    <x v="107"/>
    <n v="4799.7000000000007"/>
  </r>
  <r>
    <x v="6"/>
    <x v="0"/>
    <x v="3"/>
    <x v="4"/>
    <x v="108"/>
    <n v="399.95"/>
  </r>
  <r>
    <x v="0"/>
    <x v="2"/>
    <x v="0"/>
    <x v="4"/>
    <x v="108"/>
    <n v="3409.5"/>
  </r>
  <r>
    <x v="10"/>
    <x v="0"/>
    <x v="3"/>
    <x v="0"/>
    <x v="108"/>
    <n v="639.91999999999996"/>
  </r>
  <r>
    <x v="8"/>
    <x v="2"/>
    <x v="1"/>
    <x v="3"/>
    <x v="108"/>
    <n v="681.9"/>
  </r>
  <r>
    <x v="4"/>
    <x v="3"/>
    <x v="2"/>
    <x v="3"/>
    <x v="108"/>
    <n v="2727.6"/>
  </r>
  <r>
    <x v="5"/>
    <x v="4"/>
    <x v="0"/>
    <x v="3"/>
    <x v="109"/>
    <n v="4799.7000000000007"/>
  </r>
  <r>
    <x v="2"/>
    <x v="3"/>
    <x v="1"/>
    <x v="3"/>
    <x v="109"/>
    <n v="5114.25"/>
  </r>
  <r>
    <x v="10"/>
    <x v="1"/>
    <x v="3"/>
    <x v="3"/>
    <x v="110"/>
    <n v="2365.2999999999997"/>
  </r>
  <r>
    <x v="0"/>
    <x v="0"/>
    <x v="0"/>
    <x v="3"/>
    <x v="110"/>
    <n v="799.9"/>
  </r>
  <r>
    <x v="0"/>
    <x v="3"/>
    <x v="0"/>
    <x v="1"/>
    <x v="110"/>
    <n v="1704.75"/>
  </r>
  <r>
    <x v="6"/>
    <x v="4"/>
    <x v="3"/>
    <x v="4"/>
    <x v="111"/>
    <n v="7199.55"/>
  </r>
  <r>
    <x v="7"/>
    <x v="0"/>
    <x v="0"/>
    <x v="3"/>
    <x v="111"/>
    <n v="1199.8499999999999"/>
  </r>
  <r>
    <x v="3"/>
    <x v="2"/>
    <x v="2"/>
    <x v="3"/>
    <x v="111"/>
    <n v="4091.3999999999996"/>
  </r>
  <r>
    <x v="8"/>
    <x v="4"/>
    <x v="1"/>
    <x v="1"/>
    <x v="112"/>
    <n v="7999.5"/>
  </r>
  <r>
    <x v="1"/>
    <x v="2"/>
    <x v="0"/>
    <x v="2"/>
    <x v="112"/>
    <n v="3750.45"/>
  </r>
  <r>
    <x v="6"/>
    <x v="0"/>
    <x v="3"/>
    <x v="1"/>
    <x v="113"/>
    <n v="239.96999999999997"/>
  </r>
  <r>
    <x v="3"/>
    <x v="1"/>
    <x v="2"/>
    <x v="2"/>
    <x v="113"/>
    <n v="337.9"/>
  </r>
  <r>
    <x v="3"/>
    <x v="1"/>
    <x v="2"/>
    <x v="3"/>
    <x v="114"/>
    <n v="2534.25"/>
  </r>
  <r>
    <x v="9"/>
    <x v="1"/>
    <x v="2"/>
    <x v="2"/>
    <x v="114"/>
    <n v="2365.2999999999997"/>
  </r>
  <r>
    <x v="9"/>
    <x v="2"/>
    <x v="2"/>
    <x v="0"/>
    <x v="115"/>
    <n v="2045.6999999999998"/>
  </r>
  <r>
    <x v="6"/>
    <x v="2"/>
    <x v="3"/>
    <x v="0"/>
    <x v="115"/>
    <n v="3750.45"/>
  </r>
  <r>
    <x v="11"/>
    <x v="4"/>
    <x v="2"/>
    <x v="0"/>
    <x v="115"/>
    <n v="11199.300000000001"/>
  </r>
  <r>
    <x v="1"/>
    <x v="0"/>
    <x v="0"/>
    <x v="0"/>
    <x v="116"/>
    <n v="559.92999999999995"/>
  </r>
  <r>
    <x v="7"/>
    <x v="2"/>
    <x v="0"/>
    <x v="3"/>
    <x v="116"/>
    <n v="4091.3999999999996"/>
  </r>
  <r>
    <x v="7"/>
    <x v="2"/>
    <x v="0"/>
    <x v="1"/>
    <x v="116"/>
    <n v="1704.75"/>
  </r>
  <r>
    <x v="0"/>
    <x v="0"/>
    <x v="0"/>
    <x v="0"/>
    <x v="117"/>
    <n v="1359.83"/>
  </r>
  <r>
    <x v="6"/>
    <x v="2"/>
    <x v="3"/>
    <x v="3"/>
    <x v="117"/>
    <n v="2727.6"/>
  </r>
  <r>
    <x v="8"/>
    <x v="3"/>
    <x v="1"/>
    <x v="0"/>
    <x v="118"/>
    <n v="5114.25"/>
  </r>
  <r>
    <x v="6"/>
    <x v="1"/>
    <x v="3"/>
    <x v="1"/>
    <x v="118"/>
    <n v="1858.4499999999998"/>
  </r>
  <r>
    <x v="10"/>
    <x v="3"/>
    <x v="3"/>
    <x v="2"/>
    <x v="118"/>
    <n v="5114.25"/>
  </r>
  <r>
    <x v="11"/>
    <x v="4"/>
    <x v="2"/>
    <x v="3"/>
    <x v="118"/>
    <n v="10399.35"/>
  </r>
  <r>
    <x v="5"/>
    <x v="2"/>
    <x v="3"/>
    <x v="1"/>
    <x v="118"/>
    <n v="2727.6"/>
  </r>
  <r>
    <x v="0"/>
    <x v="1"/>
    <x v="0"/>
    <x v="2"/>
    <x v="118"/>
    <n v="2196.35"/>
  </r>
  <r>
    <x v="3"/>
    <x v="2"/>
    <x v="2"/>
    <x v="0"/>
    <x v="119"/>
    <n v="6137.0999999999995"/>
  </r>
  <r>
    <x v="11"/>
    <x v="1"/>
    <x v="2"/>
    <x v="3"/>
    <x v="119"/>
    <n v="1013.6999999999999"/>
  </r>
  <r>
    <x v="4"/>
    <x v="3"/>
    <x v="2"/>
    <x v="4"/>
    <x v="120"/>
    <n v="1022.8499999999999"/>
  </r>
  <r>
    <x v="6"/>
    <x v="3"/>
    <x v="3"/>
    <x v="0"/>
    <x v="120"/>
    <n v="2386.65"/>
  </r>
  <r>
    <x v="5"/>
    <x v="0"/>
    <x v="0"/>
    <x v="3"/>
    <x v="120"/>
    <n v="159.97999999999999"/>
  </r>
  <r>
    <x v="5"/>
    <x v="1"/>
    <x v="0"/>
    <x v="4"/>
    <x v="121"/>
    <n v="675.8"/>
  </r>
  <r>
    <x v="3"/>
    <x v="4"/>
    <x v="2"/>
    <x v="0"/>
    <x v="121"/>
    <n v="5599.6500000000005"/>
  </r>
  <r>
    <x v="9"/>
    <x v="1"/>
    <x v="2"/>
    <x v="0"/>
    <x v="122"/>
    <n v="1520.55"/>
  </r>
  <r>
    <x v="5"/>
    <x v="1"/>
    <x v="0"/>
    <x v="4"/>
    <x v="123"/>
    <n v="2365.2999999999997"/>
  </r>
  <r>
    <x v="7"/>
    <x v="1"/>
    <x v="0"/>
    <x v="4"/>
    <x v="123"/>
    <n v="2027.3999999999999"/>
  </r>
  <r>
    <x v="5"/>
    <x v="1"/>
    <x v="0"/>
    <x v="1"/>
    <x v="123"/>
    <n v="2196.35"/>
  </r>
  <r>
    <x v="0"/>
    <x v="2"/>
    <x v="0"/>
    <x v="2"/>
    <x v="123"/>
    <n v="3409.5"/>
  </r>
  <r>
    <x v="4"/>
    <x v="3"/>
    <x v="2"/>
    <x v="3"/>
    <x v="124"/>
    <n v="1022.8499999999999"/>
  </r>
  <r>
    <x v="0"/>
    <x v="4"/>
    <x v="0"/>
    <x v="3"/>
    <x v="124"/>
    <n v="7999.5"/>
  </r>
  <r>
    <x v="2"/>
    <x v="4"/>
    <x v="1"/>
    <x v="0"/>
    <x v="124"/>
    <n v="15999"/>
  </r>
  <r>
    <x v="11"/>
    <x v="2"/>
    <x v="2"/>
    <x v="3"/>
    <x v="124"/>
    <n v="1704.75"/>
  </r>
  <r>
    <x v="5"/>
    <x v="4"/>
    <x v="0"/>
    <x v="1"/>
    <x v="124"/>
    <n v="3199.8"/>
  </r>
  <r>
    <x v="11"/>
    <x v="4"/>
    <x v="2"/>
    <x v="1"/>
    <x v="124"/>
    <n v="1599.9"/>
  </r>
  <r>
    <x v="3"/>
    <x v="0"/>
    <x v="2"/>
    <x v="2"/>
    <x v="124"/>
    <n v="159.97999999999999"/>
  </r>
  <r>
    <x v="4"/>
    <x v="0"/>
    <x v="2"/>
    <x v="4"/>
    <x v="125"/>
    <n v="79.989999999999995"/>
  </r>
  <r>
    <x v="9"/>
    <x v="1"/>
    <x v="2"/>
    <x v="0"/>
    <x v="125"/>
    <n v="1013.6999999999999"/>
  </r>
  <r>
    <x v="7"/>
    <x v="2"/>
    <x v="0"/>
    <x v="0"/>
    <x v="125"/>
    <n v="4773.3"/>
  </r>
  <r>
    <x v="1"/>
    <x v="1"/>
    <x v="0"/>
    <x v="1"/>
    <x v="125"/>
    <n v="1520.55"/>
  </r>
  <r>
    <x v="3"/>
    <x v="2"/>
    <x v="2"/>
    <x v="2"/>
    <x v="125"/>
    <n v="340.95"/>
  </r>
  <r>
    <x v="2"/>
    <x v="1"/>
    <x v="1"/>
    <x v="0"/>
    <x v="126"/>
    <n v="2872.1499999999996"/>
  </r>
  <r>
    <x v="5"/>
    <x v="1"/>
    <x v="0"/>
    <x v="3"/>
    <x v="126"/>
    <n v="2196.35"/>
  </r>
  <r>
    <x v="3"/>
    <x v="3"/>
    <x v="2"/>
    <x v="2"/>
    <x v="127"/>
    <n v="3068.5499999999997"/>
  </r>
  <r>
    <x v="3"/>
    <x v="4"/>
    <x v="2"/>
    <x v="4"/>
    <x v="128"/>
    <n v="3999.75"/>
  </r>
  <r>
    <x v="5"/>
    <x v="4"/>
    <x v="0"/>
    <x v="0"/>
    <x v="128"/>
    <n v="6399.6"/>
  </r>
  <r>
    <x v="3"/>
    <x v="3"/>
    <x v="2"/>
    <x v="0"/>
    <x v="128"/>
    <n v="6819"/>
  </r>
  <r>
    <x v="6"/>
    <x v="4"/>
    <x v="3"/>
    <x v="2"/>
    <x v="128"/>
    <n v="9599.4000000000015"/>
  </r>
  <r>
    <x v="6"/>
    <x v="2"/>
    <x v="3"/>
    <x v="2"/>
    <x v="128"/>
    <n v="3068.5499999999997"/>
  </r>
  <r>
    <x v="4"/>
    <x v="0"/>
    <x v="2"/>
    <x v="2"/>
    <x v="129"/>
    <n v="239.96999999999997"/>
  </r>
  <r>
    <x v="7"/>
    <x v="1"/>
    <x v="0"/>
    <x v="0"/>
    <x v="130"/>
    <n v="2365.2999999999997"/>
  </r>
  <r>
    <x v="5"/>
    <x v="1"/>
    <x v="0"/>
    <x v="0"/>
    <x v="130"/>
    <n v="2365.2999999999997"/>
  </r>
  <r>
    <x v="11"/>
    <x v="4"/>
    <x v="2"/>
    <x v="3"/>
    <x v="130"/>
    <n v="7999.5"/>
  </r>
  <r>
    <x v="7"/>
    <x v="1"/>
    <x v="0"/>
    <x v="3"/>
    <x v="130"/>
    <n v="675.8"/>
  </r>
  <r>
    <x v="5"/>
    <x v="2"/>
    <x v="3"/>
    <x v="1"/>
    <x v="131"/>
    <n v="681.9"/>
  </r>
  <r>
    <x v="1"/>
    <x v="0"/>
    <x v="0"/>
    <x v="1"/>
    <x v="131"/>
    <n v="959.87999999999988"/>
  </r>
  <r>
    <x v="4"/>
    <x v="2"/>
    <x v="2"/>
    <x v="4"/>
    <x v="132"/>
    <n v="3068.5499999999997"/>
  </r>
  <r>
    <x v="5"/>
    <x v="2"/>
    <x v="3"/>
    <x v="4"/>
    <x v="132"/>
    <n v="681.9"/>
  </r>
  <r>
    <x v="0"/>
    <x v="1"/>
    <x v="0"/>
    <x v="0"/>
    <x v="132"/>
    <n v="1013.6999999999999"/>
  </r>
  <r>
    <x v="3"/>
    <x v="0"/>
    <x v="2"/>
    <x v="3"/>
    <x v="133"/>
    <n v="479.93999999999994"/>
  </r>
  <r>
    <x v="0"/>
    <x v="3"/>
    <x v="0"/>
    <x v="4"/>
    <x v="134"/>
    <n v="2386.65"/>
  </r>
  <r>
    <x v="9"/>
    <x v="1"/>
    <x v="2"/>
    <x v="0"/>
    <x v="135"/>
    <n v="3041.1"/>
  </r>
  <r>
    <x v="7"/>
    <x v="4"/>
    <x v="0"/>
    <x v="1"/>
    <x v="135"/>
    <n v="2399.8500000000004"/>
  </r>
  <r>
    <x v="7"/>
    <x v="2"/>
    <x v="0"/>
    <x v="0"/>
    <x v="136"/>
    <n v="4432.3499999999995"/>
  </r>
  <r>
    <x v="8"/>
    <x v="0"/>
    <x v="1"/>
    <x v="3"/>
    <x v="137"/>
    <n v="1119.8599999999999"/>
  </r>
  <r>
    <x v="7"/>
    <x v="4"/>
    <x v="0"/>
    <x v="3"/>
    <x v="137"/>
    <n v="2399.8500000000004"/>
  </r>
  <r>
    <x v="2"/>
    <x v="2"/>
    <x v="1"/>
    <x v="0"/>
    <x v="137"/>
    <n v="2727.6"/>
  </r>
  <r>
    <x v="4"/>
    <x v="3"/>
    <x v="2"/>
    <x v="2"/>
    <x v="137"/>
    <n v="3068.5499999999997"/>
  </r>
  <r>
    <x v="7"/>
    <x v="3"/>
    <x v="0"/>
    <x v="0"/>
    <x v="138"/>
    <n v="6137.0999999999995"/>
  </r>
  <r>
    <x v="6"/>
    <x v="0"/>
    <x v="3"/>
    <x v="2"/>
    <x v="138"/>
    <n v="719.91"/>
  </r>
  <r>
    <x v="4"/>
    <x v="4"/>
    <x v="2"/>
    <x v="0"/>
    <x v="138"/>
    <n v="8799.4500000000007"/>
  </r>
  <r>
    <x v="10"/>
    <x v="3"/>
    <x v="3"/>
    <x v="1"/>
    <x v="138"/>
    <n v="3750.45"/>
  </r>
  <r>
    <x v="4"/>
    <x v="4"/>
    <x v="2"/>
    <x v="3"/>
    <x v="139"/>
    <n v="7999.5"/>
  </r>
  <r>
    <x v="10"/>
    <x v="2"/>
    <x v="3"/>
    <x v="4"/>
    <x v="140"/>
    <n v="2045.6999999999998"/>
  </r>
  <r>
    <x v="4"/>
    <x v="4"/>
    <x v="2"/>
    <x v="4"/>
    <x v="141"/>
    <n v="799.95"/>
  </r>
  <r>
    <x v="8"/>
    <x v="0"/>
    <x v="1"/>
    <x v="2"/>
    <x v="141"/>
    <n v="879.89"/>
  </r>
  <r>
    <x v="6"/>
    <x v="0"/>
    <x v="3"/>
    <x v="2"/>
    <x v="141"/>
    <n v="879.89"/>
  </r>
  <r>
    <x v="9"/>
    <x v="1"/>
    <x v="2"/>
    <x v="4"/>
    <x v="142"/>
    <n v="1013.6999999999999"/>
  </r>
  <r>
    <x v="1"/>
    <x v="1"/>
    <x v="0"/>
    <x v="4"/>
    <x v="142"/>
    <n v="1520.55"/>
  </r>
  <r>
    <x v="10"/>
    <x v="2"/>
    <x v="3"/>
    <x v="4"/>
    <x v="142"/>
    <n v="3409.5"/>
  </r>
  <r>
    <x v="0"/>
    <x v="4"/>
    <x v="0"/>
    <x v="2"/>
    <x v="142"/>
    <n v="2399.8500000000004"/>
  </r>
  <r>
    <x v="0"/>
    <x v="4"/>
    <x v="0"/>
    <x v="0"/>
    <x v="143"/>
    <n v="15199.050000000001"/>
  </r>
  <r>
    <x v="5"/>
    <x v="3"/>
    <x v="0"/>
    <x v="1"/>
    <x v="143"/>
    <n v="4773.3"/>
  </r>
  <r>
    <x v="7"/>
    <x v="3"/>
    <x v="0"/>
    <x v="4"/>
    <x v="143"/>
    <n v="1022.8499999999999"/>
  </r>
  <r>
    <x v="0"/>
    <x v="4"/>
    <x v="0"/>
    <x v="4"/>
    <x v="143"/>
    <n v="799.95"/>
  </r>
  <r>
    <x v="10"/>
    <x v="2"/>
    <x v="3"/>
    <x v="3"/>
    <x v="143"/>
    <n v="340.95"/>
  </r>
  <r>
    <x v="5"/>
    <x v="4"/>
    <x v="0"/>
    <x v="1"/>
    <x v="144"/>
    <n v="8799.4500000000007"/>
  </r>
  <r>
    <x v="4"/>
    <x v="4"/>
    <x v="2"/>
    <x v="2"/>
    <x v="144"/>
    <n v="4799.7000000000007"/>
  </r>
  <r>
    <x v="5"/>
    <x v="2"/>
    <x v="3"/>
    <x v="4"/>
    <x v="144"/>
    <n v="2386.65"/>
  </r>
  <r>
    <x v="7"/>
    <x v="4"/>
    <x v="0"/>
    <x v="4"/>
    <x v="144"/>
    <n v="9599.4000000000015"/>
  </r>
  <r>
    <x v="0"/>
    <x v="0"/>
    <x v="0"/>
    <x v="1"/>
    <x v="145"/>
    <n v="239.96999999999997"/>
  </r>
  <r>
    <x v="5"/>
    <x v="4"/>
    <x v="0"/>
    <x v="0"/>
    <x v="146"/>
    <n v="15199.050000000001"/>
  </r>
  <r>
    <x v="6"/>
    <x v="1"/>
    <x v="3"/>
    <x v="4"/>
    <x v="147"/>
    <n v="844.75"/>
  </r>
  <r>
    <x v="7"/>
    <x v="4"/>
    <x v="0"/>
    <x v="0"/>
    <x v="147"/>
    <n v="15199.050000000001"/>
  </r>
  <r>
    <x v="7"/>
    <x v="0"/>
    <x v="0"/>
    <x v="3"/>
    <x v="147"/>
    <n v="799.9"/>
  </r>
  <r>
    <x v="1"/>
    <x v="2"/>
    <x v="0"/>
    <x v="2"/>
    <x v="147"/>
    <n v="2727.6"/>
  </r>
  <r>
    <x v="7"/>
    <x v="4"/>
    <x v="0"/>
    <x v="2"/>
    <x v="147"/>
    <n v="7199.55"/>
  </r>
  <r>
    <x v="6"/>
    <x v="4"/>
    <x v="3"/>
    <x v="0"/>
    <x v="147"/>
    <n v="12799.2"/>
  </r>
  <r>
    <x v="0"/>
    <x v="4"/>
    <x v="0"/>
    <x v="0"/>
    <x v="147"/>
    <n v="13599.150000000001"/>
  </r>
  <r>
    <x v="3"/>
    <x v="4"/>
    <x v="2"/>
    <x v="2"/>
    <x v="147"/>
    <n v="6399.6"/>
  </r>
  <r>
    <x v="0"/>
    <x v="0"/>
    <x v="0"/>
    <x v="2"/>
    <x v="147"/>
    <n v="239.96999999999997"/>
  </r>
  <r>
    <x v="7"/>
    <x v="3"/>
    <x v="0"/>
    <x v="3"/>
    <x v="148"/>
    <n v="2045.6999999999998"/>
  </r>
  <r>
    <x v="3"/>
    <x v="0"/>
    <x v="2"/>
    <x v="1"/>
    <x v="148"/>
    <n v="879.89"/>
  </r>
  <r>
    <x v="11"/>
    <x v="0"/>
    <x v="2"/>
    <x v="3"/>
    <x v="148"/>
    <n v="1199.8499999999999"/>
  </r>
  <r>
    <x v="1"/>
    <x v="1"/>
    <x v="0"/>
    <x v="4"/>
    <x v="149"/>
    <n v="1182.6499999999999"/>
  </r>
  <r>
    <x v="4"/>
    <x v="3"/>
    <x v="2"/>
    <x v="1"/>
    <x v="149"/>
    <n v="681.9"/>
  </r>
  <r>
    <x v="1"/>
    <x v="3"/>
    <x v="0"/>
    <x v="2"/>
    <x v="149"/>
    <n v="5114.25"/>
  </r>
  <r>
    <x v="3"/>
    <x v="1"/>
    <x v="2"/>
    <x v="4"/>
    <x v="149"/>
    <n v="2196.35"/>
  </r>
  <r>
    <x v="3"/>
    <x v="1"/>
    <x v="2"/>
    <x v="3"/>
    <x v="149"/>
    <n v="506.84999999999997"/>
  </r>
  <r>
    <x v="5"/>
    <x v="0"/>
    <x v="0"/>
    <x v="0"/>
    <x v="150"/>
    <n v="959.87999999999988"/>
  </r>
  <r>
    <x v="8"/>
    <x v="4"/>
    <x v="1"/>
    <x v="2"/>
    <x v="150"/>
    <n v="11199.300000000001"/>
  </r>
  <r>
    <x v="9"/>
    <x v="4"/>
    <x v="2"/>
    <x v="2"/>
    <x v="150"/>
    <n v="11999.25"/>
  </r>
  <r>
    <x v="9"/>
    <x v="2"/>
    <x v="2"/>
    <x v="2"/>
    <x v="150"/>
    <n v="1363.8"/>
  </r>
  <r>
    <x v="7"/>
    <x v="0"/>
    <x v="0"/>
    <x v="4"/>
    <x v="150"/>
    <n v="479.93999999999994"/>
  </r>
  <r>
    <x v="7"/>
    <x v="2"/>
    <x v="0"/>
    <x v="1"/>
    <x v="150"/>
    <n v="1704.75"/>
  </r>
  <r>
    <x v="6"/>
    <x v="3"/>
    <x v="3"/>
    <x v="1"/>
    <x v="151"/>
    <n v="5114.25"/>
  </r>
  <r>
    <x v="0"/>
    <x v="2"/>
    <x v="0"/>
    <x v="1"/>
    <x v="151"/>
    <n v="681.9"/>
  </r>
  <r>
    <x v="4"/>
    <x v="0"/>
    <x v="2"/>
    <x v="4"/>
    <x v="152"/>
    <n v="319.95999999999998"/>
  </r>
  <r>
    <x v="6"/>
    <x v="3"/>
    <x v="3"/>
    <x v="0"/>
    <x v="152"/>
    <n v="3068.5499999999997"/>
  </r>
  <r>
    <x v="3"/>
    <x v="0"/>
    <x v="2"/>
    <x v="1"/>
    <x v="152"/>
    <n v="639.91999999999996"/>
  </r>
  <r>
    <x v="11"/>
    <x v="4"/>
    <x v="2"/>
    <x v="0"/>
    <x v="153"/>
    <n v="7999.5"/>
  </r>
  <r>
    <x v="0"/>
    <x v="0"/>
    <x v="0"/>
    <x v="4"/>
    <x v="154"/>
    <n v="319.95999999999998"/>
  </r>
  <r>
    <x v="3"/>
    <x v="3"/>
    <x v="2"/>
    <x v="3"/>
    <x v="154"/>
    <n v="4432.3499999999995"/>
  </r>
  <r>
    <x v="6"/>
    <x v="4"/>
    <x v="3"/>
    <x v="4"/>
    <x v="155"/>
    <n v="8799.4500000000007"/>
  </r>
  <r>
    <x v="3"/>
    <x v="2"/>
    <x v="2"/>
    <x v="3"/>
    <x v="155"/>
    <n v="4773.3"/>
  </r>
  <r>
    <x v="6"/>
    <x v="0"/>
    <x v="3"/>
    <x v="4"/>
    <x v="156"/>
    <n v="479.93999999999994"/>
  </r>
  <r>
    <x v="8"/>
    <x v="1"/>
    <x v="1"/>
    <x v="3"/>
    <x v="156"/>
    <n v="1182.6499999999999"/>
  </r>
  <r>
    <x v="6"/>
    <x v="4"/>
    <x v="3"/>
    <x v="3"/>
    <x v="156"/>
    <n v="1599.9"/>
  </r>
  <r>
    <x v="3"/>
    <x v="2"/>
    <x v="2"/>
    <x v="1"/>
    <x v="156"/>
    <n v="4432.3499999999995"/>
  </r>
  <r>
    <x v="0"/>
    <x v="1"/>
    <x v="0"/>
    <x v="0"/>
    <x v="156"/>
    <n v="1351.6"/>
  </r>
  <r>
    <x v="5"/>
    <x v="0"/>
    <x v="0"/>
    <x v="1"/>
    <x v="157"/>
    <n v="799.9"/>
  </r>
  <r>
    <x v="0"/>
    <x v="2"/>
    <x v="0"/>
    <x v="1"/>
    <x v="157"/>
    <n v="2386.65"/>
  </r>
  <r>
    <x v="7"/>
    <x v="0"/>
    <x v="0"/>
    <x v="2"/>
    <x v="157"/>
    <n v="1199.8499999999999"/>
  </r>
  <r>
    <x v="10"/>
    <x v="1"/>
    <x v="3"/>
    <x v="2"/>
    <x v="157"/>
    <n v="506.84999999999997"/>
  </r>
  <r>
    <x v="3"/>
    <x v="0"/>
    <x v="2"/>
    <x v="4"/>
    <x v="158"/>
    <n v="239.96999999999997"/>
  </r>
  <r>
    <x v="9"/>
    <x v="1"/>
    <x v="2"/>
    <x v="0"/>
    <x v="158"/>
    <n v="2872.1499999999996"/>
  </r>
  <r>
    <x v="4"/>
    <x v="0"/>
    <x v="2"/>
    <x v="3"/>
    <x v="158"/>
    <n v="1119.8599999999999"/>
  </r>
  <r>
    <x v="2"/>
    <x v="4"/>
    <x v="1"/>
    <x v="2"/>
    <x v="158"/>
    <n v="3999.75"/>
  </r>
  <r>
    <x v="1"/>
    <x v="4"/>
    <x v="0"/>
    <x v="0"/>
    <x v="159"/>
    <n v="11999.25"/>
  </r>
  <r>
    <x v="1"/>
    <x v="0"/>
    <x v="0"/>
    <x v="1"/>
    <x v="159"/>
    <n v="959.87999999999988"/>
  </r>
  <r>
    <x v="8"/>
    <x v="2"/>
    <x v="1"/>
    <x v="0"/>
    <x v="159"/>
    <n v="2045.6999999999998"/>
  </r>
  <r>
    <x v="10"/>
    <x v="2"/>
    <x v="3"/>
    <x v="0"/>
    <x v="160"/>
    <n v="3068.5499999999997"/>
  </r>
  <r>
    <x v="10"/>
    <x v="2"/>
    <x v="3"/>
    <x v="1"/>
    <x v="160"/>
    <n v="2045.6999999999998"/>
  </r>
  <r>
    <x v="0"/>
    <x v="1"/>
    <x v="0"/>
    <x v="2"/>
    <x v="161"/>
    <n v="2365.2999999999997"/>
  </r>
  <r>
    <x v="6"/>
    <x v="4"/>
    <x v="3"/>
    <x v="1"/>
    <x v="161"/>
    <n v="5599.6500000000005"/>
  </r>
  <r>
    <x v="3"/>
    <x v="1"/>
    <x v="2"/>
    <x v="1"/>
    <x v="161"/>
    <n v="675.8"/>
  </r>
  <r>
    <x v="7"/>
    <x v="2"/>
    <x v="0"/>
    <x v="0"/>
    <x v="162"/>
    <n v="3068.5499999999997"/>
  </r>
  <r>
    <x v="6"/>
    <x v="1"/>
    <x v="3"/>
    <x v="0"/>
    <x v="162"/>
    <n v="2196.35"/>
  </r>
  <r>
    <x v="7"/>
    <x v="4"/>
    <x v="0"/>
    <x v="0"/>
    <x v="163"/>
    <n v="11199.300000000001"/>
  </r>
  <r>
    <x v="8"/>
    <x v="4"/>
    <x v="1"/>
    <x v="3"/>
    <x v="163"/>
    <n v="2399.8500000000004"/>
  </r>
  <r>
    <x v="2"/>
    <x v="3"/>
    <x v="1"/>
    <x v="3"/>
    <x v="163"/>
    <n v="4773.3"/>
  </r>
  <r>
    <x v="11"/>
    <x v="0"/>
    <x v="2"/>
    <x v="1"/>
    <x v="164"/>
    <n v="639.91999999999996"/>
  </r>
  <r>
    <x v="11"/>
    <x v="0"/>
    <x v="2"/>
    <x v="1"/>
    <x v="164"/>
    <n v="959.87999999999988"/>
  </r>
  <r>
    <x v="6"/>
    <x v="0"/>
    <x v="3"/>
    <x v="2"/>
    <x v="164"/>
    <n v="239.96999999999997"/>
  </r>
  <r>
    <x v="5"/>
    <x v="2"/>
    <x v="3"/>
    <x v="4"/>
    <x v="165"/>
    <n v="2045.6999999999998"/>
  </r>
  <r>
    <x v="7"/>
    <x v="0"/>
    <x v="0"/>
    <x v="4"/>
    <x v="165"/>
    <n v="159.97999999999999"/>
  </r>
  <r>
    <x v="7"/>
    <x v="3"/>
    <x v="0"/>
    <x v="1"/>
    <x v="165"/>
    <n v="4432.3499999999995"/>
  </r>
  <r>
    <x v="9"/>
    <x v="0"/>
    <x v="2"/>
    <x v="4"/>
    <x v="165"/>
    <n v="1199.8499999999999"/>
  </r>
  <r>
    <x v="6"/>
    <x v="1"/>
    <x v="3"/>
    <x v="3"/>
    <x v="165"/>
    <n v="675.8"/>
  </r>
  <r>
    <x v="0"/>
    <x v="2"/>
    <x v="0"/>
    <x v="2"/>
    <x v="166"/>
    <n v="681.9"/>
  </r>
  <r>
    <x v="7"/>
    <x v="0"/>
    <x v="0"/>
    <x v="3"/>
    <x v="166"/>
    <n v="959.87999999999988"/>
  </r>
  <r>
    <x v="5"/>
    <x v="2"/>
    <x v="3"/>
    <x v="1"/>
    <x v="166"/>
    <n v="681.9"/>
  </r>
  <r>
    <x v="4"/>
    <x v="0"/>
    <x v="2"/>
    <x v="0"/>
    <x v="167"/>
    <n v="639.91999999999996"/>
  </r>
  <r>
    <x v="10"/>
    <x v="3"/>
    <x v="3"/>
    <x v="1"/>
    <x v="167"/>
    <n v="1704.75"/>
  </r>
  <r>
    <x v="7"/>
    <x v="3"/>
    <x v="0"/>
    <x v="2"/>
    <x v="167"/>
    <n v="1022.8499999999999"/>
  </r>
  <r>
    <x v="2"/>
    <x v="2"/>
    <x v="1"/>
    <x v="3"/>
    <x v="168"/>
    <n v="681.9"/>
  </r>
  <r>
    <x v="0"/>
    <x v="0"/>
    <x v="0"/>
    <x v="3"/>
    <x v="168"/>
    <n v="239.96999999999997"/>
  </r>
  <r>
    <x v="7"/>
    <x v="4"/>
    <x v="0"/>
    <x v="4"/>
    <x v="169"/>
    <n v="11199.300000000001"/>
  </r>
  <r>
    <x v="3"/>
    <x v="2"/>
    <x v="2"/>
    <x v="1"/>
    <x v="169"/>
    <n v="4432.3499999999995"/>
  </r>
  <r>
    <x v="1"/>
    <x v="4"/>
    <x v="0"/>
    <x v="4"/>
    <x v="170"/>
    <n v="1599.9"/>
  </r>
  <r>
    <x v="10"/>
    <x v="4"/>
    <x v="3"/>
    <x v="3"/>
    <x v="170"/>
    <n v="11999.25"/>
  </r>
  <r>
    <x v="0"/>
    <x v="2"/>
    <x v="0"/>
    <x v="3"/>
    <x v="170"/>
    <n v="4432.3499999999995"/>
  </r>
  <r>
    <x v="2"/>
    <x v="0"/>
    <x v="1"/>
    <x v="1"/>
    <x v="170"/>
    <n v="1039.8699999999999"/>
  </r>
  <r>
    <x v="4"/>
    <x v="1"/>
    <x v="2"/>
    <x v="4"/>
    <x v="170"/>
    <n v="337.9"/>
  </r>
  <r>
    <x v="10"/>
    <x v="1"/>
    <x v="3"/>
    <x v="4"/>
    <x v="170"/>
    <n v="337.9"/>
  </r>
  <r>
    <x v="6"/>
    <x v="1"/>
    <x v="3"/>
    <x v="0"/>
    <x v="171"/>
    <n v="1182.6499999999999"/>
  </r>
  <r>
    <x v="2"/>
    <x v="2"/>
    <x v="1"/>
    <x v="3"/>
    <x v="171"/>
    <n v="3068.5499999999997"/>
  </r>
  <r>
    <x v="7"/>
    <x v="3"/>
    <x v="0"/>
    <x v="2"/>
    <x v="171"/>
    <n v="2386.65"/>
  </r>
  <r>
    <x v="4"/>
    <x v="0"/>
    <x v="2"/>
    <x v="2"/>
    <x v="171"/>
    <n v="159.97999999999999"/>
  </r>
  <r>
    <x v="9"/>
    <x v="3"/>
    <x v="2"/>
    <x v="4"/>
    <x v="172"/>
    <n v="4773.3"/>
  </r>
  <r>
    <x v="11"/>
    <x v="2"/>
    <x v="2"/>
    <x v="2"/>
    <x v="172"/>
    <n v="2045.6999999999998"/>
  </r>
  <r>
    <x v="0"/>
    <x v="0"/>
    <x v="0"/>
    <x v="4"/>
    <x v="173"/>
    <n v="719.91"/>
  </r>
  <r>
    <x v="8"/>
    <x v="2"/>
    <x v="1"/>
    <x v="0"/>
    <x v="173"/>
    <n v="4091.3999999999996"/>
  </r>
  <r>
    <x v="0"/>
    <x v="1"/>
    <x v="0"/>
    <x v="0"/>
    <x v="173"/>
    <n v="2872.1499999999996"/>
  </r>
  <r>
    <x v="4"/>
    <x v="4"/>
    <x v="2"/>
    <x v="1"/>
    <x v="174"/>
    <n v="1599.9"/>
  </r>
  <r>
    <x v="10"/>
    <x v="4"/>
    <x v="3"/>
    <x v="1"/>
    <x v="175"/>
    <n v="7999.5"/>
  </r>
  <r>
    <x v="3"/>
    <x v="3"/>
    <x v="2"/>
    <x v="1"/>
    <x v="175"/>
    <n v="4773.3"/>
  </r>
  <r>
    <x v="7"/>
    <x v="3"/>
    <x v="0"/>
    <x v="4"/>
    <x v="176"/>
    <n v="1022.8499999999999"/>
  </r>
  <r>
    <x v="1"/>
    <x v="4"/>
    <x v="0"/>
    <x v="2"/>
    <x v="176"/>
    <n v="7199.55"/>
  </r>
  <r>
    <x v="10"/>
    <x v="2"/>
    <x v="3"/>
    <x v="4"/>
    <x v="176"/>
    <n v="3068.5499999999997"/>
  </r>
  <r>
    <x v="7"/>
    <x v="0"/>
    <x v="0"/>
    <x v="3"/>
    <x v="176"/>
    <n v="799.9"/>
  </r>
  <r>
    <x v="3"/>
    <x v="1"/>
    <x v="2"/>
    <x v="0"/>
    <x v="177"/>
    <n v="2027.3999999999999"/>
  </r>
  <r>
    <x v="2"/>
    <x v="1"/>
    <x v="1"/>
    <x v="3"/>
    <x v="177"/>
    <n v="1351.6"/>
  </r>
  <r>
    <x v="4"/>
    <x v="3"/>
    <x v="2"/>
    <x v="0"/>
    <x v="178"/>
    <n v="4091.3999999999996"/>
  </r>
  <r>
    <x v="0"/>
    <x v="0"/>
    <x v="0"/>
    <x v="1"/>
    <x v="178"/>
    <n v="799.9"/>
  </r>
  <r>
    <x v="11"/>
    <x v="0"/>
    <x v="2"/>
    <x v="0"/>
    <x v="178"/>
    <n v="639.91999999999996"/>
  </r>
  <r>
    <x v="1"/>
    <x v="3"/>
    <x v="0"/>
    <x v="0"/>
    <x v="179"/>
    <n v="3750.45"/>
  </r>
  <r>
    <x v="10"/>
    <x v="0"/>
    <x v="3"/>
    <x v="2"/>
    <x v="179"/>
    <n v="719.91"/>
  </r>
  <r>
    <x v="0"/>
    <x v="2"/>
    <x v="0"/>
    <x v="4"/>
    <x v="180"/>
    <n v="3409.5"/>
  </r>
  <r>
    <x v="0"/>
    <x v="4"/>
    <x v="0"/>
    <x v="1"/>
    <x v="180"/>
    <n v="5599.6500000000005"/>
  </r>
  <r>
    <x v="4"/>
    <x v="4"/>
    <x v="2"/>
    <x v="2"/>
    <x v="180"/>
    <n v="3999.75"/>
  </r>
  <r>
    <x v="6"/>
    <x v="2"/>
    <x v="3"/>
    <x v="1"/>
    <x v="181"/>
    <n v="2727.6"/>
  </r>
  <r>
    <x v="5"/>
    <x v="2"/>
    <x v="3"/>
    <x v="0"/>
    <x v="182"/>
    <n v="5114.25"/>
  </r>
  <r>
    <x v="6"/>
    <x v="1"/>
    <x v="3"/>
    <x v="0"/>
    <x v="182"/>
    <n v="3379"/>
  </r>
  <r>
    <x v="4"/>
    <x v="3"/>
    <x v="2"/>
    <x v="1"/>
    <x v="182"/>
    <n v="3409.5"/>
  </r>
  <r>
    <x v="6"/>
    <x v="1"/>
    <x v="3"/>
    <x v="2"/>
    <x v="182"/>
    <n v="844.75"/>
  </r>
  <r>
    <x v="1"/>
    <x v="3"/>
    <x v="0"/>
    <x v="0"/>
    <x v="183"/>
    <n v="2386.65"/>
  </r>
  <r>
    <x v="2"/>
    <x v="3"/>
    <x v="1"/>
    <x v="3"/>
    <x v="183"/>
    <n v="1363.8"/>
  </r>
  <r>
    <x v="7"/>
    <x v="1"/>
    <x v="0"/>
    <x v="2"/>
    <x v="183"/>
    <n v="2534.25"/>
  </r>
  <r>
    <x v="7"/>
    <x v="4"/>
    <x v="0"/>
    <x v="4"/>
    <x v="184"/>
    <n v="6399.6"/>
  </r>
  <r>
    <x v="3"/>
    <x v="4"/>
    <x v="2"/>
    <x v="1"/>
    <x v="184"/>
    <n v="3999.75"/>
  </r>
  <r>
    <x v="11"/>
    <x v="2"/>
    <x v="2"/>
    <x v="4"/>
    <x v="184"/>
    <n v="3409.5"/>
  </r>
  <r>
    <x v="4"/>
    <x v="0"/>
    <x v="2"/>
    <x v="1"/>
    <x v="184"/>
    <n v="239.96999999999997"/>
  </r>
  <r>
    <x v="10"/>
    <x v="2"/>
    <x v="3"/>
    <x v="0"/>
    <x v="185"/>
    <n v="5455.2"/>
  </r>
  <r>
    <x v="2"/>
    <x v="3"/>
    <x v="1"/>
    <x v="4"/>
    <x v="186"/>
    <n v="4773.3"/>
  </r>
  <r>
    <x v="10"/>
    <x v="3"/>
    <x v="3"/>
    <x v="2"/>
    <x v="186"/>
    <n v="681.9"/>
  </r>
  <r>
    <x v="8"/>
    <x v="0"/>
    <x v="1"/>
    <x v="4"/>
    <x v="186"/>
    <n v="639.91999999999996"/>
  </r>
  <r>
    <x v="6"/>
    <x v="3"/>
    <x v="3"/>
    <x v="1"/>
    <x v="186"/>
    <n v="1704.75"/>
  </r>
  <r>
    <x v="1"/>
    <x v="1"/>
    <x v="0"/>
    <x v="1"/>
    <x v="187"/>
    <n v="2196.35"/>
  </r>
  <r>
    <x v="9"/>
    <x v="3"/>
    <x v="2"/>
    <x v="4"/>
    <x v="187"/>
    <n v="4432.3499999999995"/>
  </r>
  <r>
    <x v="11"/>
    <x v="0"/>
    <x v="2"/>
    <x v="4"/>
    <x v="187"/>
    <n v="1039.8699999999999"/>
  </r>
  <r>
    <x v="2"/>
    <x v="2"/>
    <x v="1"/>
    <x v="4"/>
    <x v="187"/>
    <n v="3750.45"/>
  </r>
  <r>
    <x v="0"/>
    <x v="4"/>
    <x v="0"/>
    <x v="1"/>
    <x v="187"/>
    <n v="9599.4000000000015"/>
  </r>
  <r>
    <x v="9"/>
    <x v="0"/>
    <x v="2"/>
    <x v="2"/>
    <x v="187"/>
    <n v="79.989999999999995"/>
  </r>
  <r>
    <x v="3"/>
    <x v="0"/>
    <x v="2"/>
    <x v="3"/>
    <x v="188"/>
    <n v="239.96999999999997"/>
  </r>
  <r>
    <x v="3"/>
    <x v="1"/>
    <x v="2"/>
    <x v="0"/>
    <x v="188"/>
    <n v="1351.6"/>
  </r>
  <r>
    <x v="0"/>
    <x v="2"/>
    <x v="0"/>
    <x v="2"/>
    <x v="188"/>
    <n v="2386.65"/>
  </r>
  <r>
    <x v="7"/>
    <x v="3"/>
    <x v="0"/>
    <x v="0"/>
    <x v="189"/>
    <n v="6819"/>
  </r>
  <r>
    <x v="0"/>
    <x v="4"/>
    <x v="0"/>
    <x v="0"/>
    <x v="190"/>
    <n v="12799.2"/>
  </r>
  <r>
    <x v="7"/>
    <x v="1"/>
    <x v="0"/>
    <x v="2"/>
    <x v="190"/>
    <n v="844.75"/>
  </r>
  <r>
    <x v="0"/>
    <x v="0"/>
    <x v="0"/>
    <x v="2"/>
    <x v="190"/>
    <n v="639.91999999999996"/>
  </r>
  <r>
    <x v="5"/>
    <x v="4"/>
    <x v="0"/>
    <x v="3"/>
    <x v="191"/>
    <n v="7199.55"/>
  </r>
  <r>
    <x v="7"/>
    <x v="3"/>
    <x v="0"/>
    <x v="4"/>
    <x v="191"/>
    <n v="3068.5499999999997"/>
  </r>
  <r>
    <x v="2"/>
    <x v="3"/>
    <x v="1"/>
    <x v="3"/>
    <x v="191"/>
    <n v="2727.6"/>
  </r>
  <r>
    <x v="0"/>
    <x v="2"/>
    <x v="0"/>
    <x v="1"/>
    <x v="191"/>
    <n v="1022.8499999999999"/>
  </r>
  <r>
    <x v="7"/>
    <x v="3"/>
    <x v="0"/>
    <x v="2"/>
    <x v="191"/>
    <n v="5114.25"/>
  </r>
  <r>
    <x v="5"/>
    <x v="2"/>
    <x v="3"/>
    <x v="3"/>
    <x v="192"/>
    <n v="5114.25"/>
  </r>
  <r>
    <x v="5"/>
    <x v="4"/>
    <x v="0"/>
    <x v="4"/>
    <x v="193"/>
    <n v="799.95"/>
  </r>
  <r>
    <x v="4"/>
    <x v="3"/>
    <x v="2"/>
    <x v="4"/>
    <x v="193"/>
    <n v="1022.8499999999999"/>
  </r>
  <r>
    <x v="4"/>
    <x v="3"/>
    <x v="2"/>
    <x v="3"/>
    <x v="193"/>
    <n v="3409.5"/>
  </r>
  <r>
    <x v="3"/>
    <x v="1"/>
    <x v="2"/>
    <x v="3"/>
    <x v="193"/>
    <n v="337.9"/>
  </r>
  <r>
    <x v="4"/>
    <x v="4"/>
    <x v="2"/>
    <x v="1"/>
    <x v="193"/>
    <n v="10399.35"/>
  </r>
  <r>
    <x v="10"/>
    <x v="0"/>
    <x v="3"/>
    <x v="1"/>
    <x v="193"/>
    <n v="559.92999999999995"/>
  </r>
  <r>
    <x v="6"/>
    <x v="3"/>
    <x v="3"/>
    <x v="2"/>
    <x v="193"/>
    <n v="340.95"/>
  </r>
  <r>
    <x v="10"/>
    <x v="1"/>
    <x v="3"/>
    <x v="2"/>
    <x v="194"/>
    <n v="1351.6"/>
  </r>
  <r>
    <x v="5"/>
    <x v="0"/>
    <x v="0"/>
    <x v="4"/>
    <x v="194"/>
    <n v="1039.8699999999999"/>
  </r>
  <r>
    <x v="4"/>
    <x v="1"/>
    <x v="2"/>
    <x v="1"/>
    <x v="194"/>
    <n v="337.9"/>
  </r>
  <r>
    <x v="3"/>
    <x v="3"/>
    <x v="2"/>
    <x v="0"/>
    <x v="195"/>
    <n v="2045.6999999999998"/>
  </r>
  <r>
    <x v="3"/>
    <x v="1"/>
    <x v="2"/>
    <x v="3"/>
    <x v="195"/>
    <n v="168.95"/>
  </r>
  <r>
    <x v="4"/>
    <x v="4"/>
    <x v="2"/>
    <x v="3"/>
    <x v="196"/>
    <n v="10399.35"/>
  </r>
  <r>
    <x v="6"/>
    <x v="2"/>
    <x v="3"/>
    <x v="3"/>
    <x v="196"/>
    <n v="340.95"/>
  </r>
  <r>
    <x v="5"/>
    <x v="0"/>
    <x v="0"/>
    <x v="3"/>
    <x v="197"/>
    <n v="719.91"/>
  </r>
  <r>
    <x v="6"/>
    <x v="3"/>
    <x v="3"/>
    <x v="1"/>
    <x v="197"/>
    <n v="340.95"/>
  </r>
  <r>
    <x v="0"/>
    <x v="4"/>
    <x v="0"/>
    <x v="4"/>
    <x v="198"/>
    <n v="3199.8"/>
  </r>
  <r>
    <x v="8"/>
    <x v="0"/>
    <x v="1"/>
    <x v="2"/>
    <x v="199"/>
    <n v="639.91999999999996"/>
  </r>
  <r>
    <x v="0"/>
    <x v="0"/>
    <x v="0"/>
    <x v="0"/>
    <x v="200"/>
    <n v="959.87999999999988"/>
  </r>
  <r>
    <x v="8"/>
    <x v="3"/>
    <x v="1"/>
    <x v="3"/>
    <x v="200"/>
    <n v="2727.6"/>
  </r>
  <r>
    <x v="2"/>
    <x v="3"/>
    <x v="1"/>
    <x v="1"/>
    <x v="200"/>
    <n v="1704.75"/>
  </r>
  <r>
    <x v="11"/>
    <x v="4"/>
    <x v="2"/>
    <x v="3"/>
    <x v="200"/>
    <n v="7999.5"/>
  </r>
  <r>
    <x v="4"/>
    <x v="1"/>
    <x v="2"/>
    <x v="2"/>
    <x v="201"/>
    <n v="506.84999999999997"/>
  </r>
  <r>
    <x v="4"/>
    <x v="3"/>
    <x v="2"/>
    <x v="2"/>
    <x v="201"/>
    <n v="5114.25"/>
  </r>
  <r>
    <x v="2"/>
    <x v="0"/>
    <x v="1"/>
    <x v="2"/>
    <x v="201"/>
    <n v="1199.8499999999999"/>
  </r>
  <r>
    <x v="6"/>
    <x v="1"/>
    <x v="3"/>
    <x v="3"/>
    <x v="202"/>
    <n v="2196.35"/>
  </r>
  <r>
    <x v="9"/>
    <x v="1"/>
    <x v="2"/>
    <x v="2"/>
    <x v="202"/>
    <n v="2027.3999999999999"/>
  </r>
  <r>
    <x v="6"/>
    <x v="0"/>
    <x v="3"/>
    <x v="1"/>
    <x v="203"/>
    <n v="399.95"/>
  </r>
  <r>
    <x v="6"/>
    <x v="3"/>
    <x v="3"/>
    <x v="4"/>
    <x v="203"/>
    <n v="1704.75"/>
  </r>
  <r>
    <x v="5"/>
    <x v="0"/>
    <x v="0"/>
    <x v="3"/>
    <x v="204"/>
    <n v="959.87999999999988"/>
  </r>
  <r>
    <x v="4"/>
    <x v="2"/>
    <x v="2"/>
    <x v="2"/>
    <x v="204"/>
    <n v="2386.65"/>
  </r>
  <r>
    <x v="6"/>
    <x v="3"/>
    <x v="3"/>
    <x v="1"/>
    <x v="205"/>
    <n v="1704.75"/>
  </r>
  <r>
    <x v="9"/>
    <x v="3"/>
    <x v="2"/>
    <x v="0"/>
    <x v="206"/>
    <n v="3750.45"/>
  </r>
  <r>
    <x v="6"/>
    <x v="0"/>
    <x v="3"/>
    <x v="1"/>
    <x v="206"/>
    <n v="159.97999999999999"/>
  </r>
  <r>
    <x v="6"/>
    <x v="0"/>
    <x v="3"/>
    <x v="2"/>
    <x v="206"/>
    <n v="239.96999999999997"/>
  </r>
  <r>
    <x v="3"/>
    <x v="1"/>
    <x v="2"/>
    <x v="2"/>
    <x v="206"/>
    <n v="2027.3999999999999"/>
  </r>
  <r>
    <x v="6"/>
    <x v="3"/>
    <x v="3"/>
    <x v="1"/>
    <x v="206"/>
    <n v="3409.5"/>
  </r>
  <r>
    <x v="1"/>
    <x v="2"/>
    <x v="0"/>
    <x v="2"/>
    <x v="207"/>
    <n v="3068.5499999999997"/>
  </r>
  <r>
    <x v="6"/>
    <x v="0"/>
    <x v="3"/>
    <x v="1"/>
    <x v="207"/>
    <n v="559.92999999999995"/>
  </r>
  <r>
    <x v="2"/>
    <x v="0"/>
    <x v="1"/>
    <x v="0"/>
    <x v="208"/>
    <n v="879.89"/>
  </r>
  <r>
    <x v="3"/>
    <x v="4"/>
    <x v="2"/>
    <x v="4"/>
    <x v="208"/>
    <n v="10399.35"/>
  </r>
  <r>
    <x v="6"/>
    <x v="1"/>
    <x v="3"/>
    <x v="0"/>
    <x v="209"/>
    <n v="1520.55"/>
  </r>
  <r>
    <x v="1"/>
    <x v="2"/>
    <x v="0"/>
    <x v="1"/>
    <x v="209"/>
    <n v="340.95"/>
  </r>
  <r>
    <x v="8"/>
    <x v="1"/>
    <x v="1"/>
    <x v="3"/>
    <x v="209"/>
    <n v="506.84999999999997"/>
  </r>
  <r>
    <x v="0"/>
    <x v="2"/>
    <x v="0"/>
    <x v="2"/>
    <x v="209"/>
    <n v="2386.65"/>
  </r>
  <r>
    <x v="1"/>
    <x v="0"/>
    <x v="0"/>
    <x v="4"/>
    <x v="210"/>
    <n v="1039.8699999999999"/>
  </r>
  <r>
    <x v="1"/>
    <x v="3"/>
    <x v="0"/>
    <x v="0"/>
    <x v="210"/>
    <n v="2386.65"/>
  </r>
  <r>
    <x v="7"/>
    <x v="0"/>
    <x v="0"/>
    <x v="2"/>
    <x v="210"/>
    <n v="79.989999999999995"/>
  </r>
  <r>
    <x v="0"/>
    <x v="4"/>
    <x v="0"/>
    <x v="2"/>
    <x v="210"/>
    <n v="3199.8"/>
  </r>
  <r>
    <x v="11"/>
    <x v="2"/>
    <x v="2"/>
    <x v="4"/>
    <x v="210"/>
    <n v="3068.5499999999997"/>
  </r>
  <r>
    <x v="7"/>
    <x v="0"/>
    <x v="0"/>
    <x v="4"/>
    <x v="210"/>
    <n v="159.97999999999999"/>
  </r>
  <r>
    <x v="10"/>
    <x v="1"/>
    <x v="3"/>
    <x v="4"/>
    <x v="210"/>
    <n v="168.95"/>
  </r>
  <r>
    <x v="0"/>
    <x v="3"/>
    <x v="0"/>
    <x v="4"/>
    <x v="210"/>
    <n v="4773.3"/>
  </r>
  <r>
    <x v="6"/>
    <x v="1"/>
    <x v="3"/>
    <x v="3"/>
    <x v="210"/>
    <n v="1013.6999999999999"/>
  </r>
  <r>
    <x v="2"/>
    <x v="1"/>
    <x v="1"/>
    <x v="3"/>
    <x v="210"/>
    <n v="2534.25"/>
  </r>
  <r>
    <x v="2"/>
    <x v="3"/>
    <x v="1"/>
    <x v="2"/>
    <x v="210"/>
    <n v="2727.6"/>
  </r>
  <r>
    <x v="9"/>
    <x v="4"/>
    <x v="2"/>
    <x v="4"/>
    <x v="211"/>
    <n v="11199.300000000001"/>
  </r>
  <r>
    <x v="10"/>
    <x v="4"/>
    <x v="3"/>
    <x v="1"/>
    <x v="211"/>
    <n v="799.95"/>
  </r>
  <r>
    <x v="7"/>
    <x v="2"/>
    <x v="0"/>
    <x v="4"/>
    <x v="212"/>
    <n v="1022.8499999999999"/>
  </r>
  <r>
    <x v="2"/>
    <x v="1"/>
    <x v="1"/>
    <x v="2"/>
    <x v="212"/>
    <n v="675.8"/>
  </r>
  <r>
    <x v="0"/>
    <x v="3"/>
    <x v="0"/>
    <x v="2"/>
    <x v="212"/>
    <n v="3409.5"/>
  </r>
  <r>
    <x v="4"/>
    <x v="3"/>
    <x v="2"/>
    <x v="4"/>
    <x v="213"/>
    <n v="1704.75"/>
  </r>
  <r>
    <x v="9"/>
    <x v="3"/>
    <x v="2"/>
    <x v="4"/>
    <x v="213"/>
    <n v="2727.6"/>
  </r>
  <r>
    <x v="2"/>
    <x v="4"/>
    <x v="1"/>
    <x v="0"/>
    <x v="213"/>
    <n v="10399.35"/>
  </r>
  <r>
    <x v="3"/>
    <x v="0"/>
    <x v="2"/>
    <x v="0"/>
    <x v="213"/>
    <n v="1039.8699999999999"/>
  </r>
  <r>
    <x v="1"/>
    <x v="4"/>
    <x v="0"/>
    <x v="1"/>
    <x v="213"/>
    <n v="7999.5"/>
  </r>
  <r>
    <x v="6"/>
    <x v="0"/>
    <x v="3"/>
    <x v="4"/>
    <x v="214"/>
    <n v="559.92999999999995"/>
  </r>
  <r>
    <x v="8"/>
    <x v="3"/>
    <x v="1"/>
    <x v="2"/>
    <x v="214"/>
    <n v="4432.3499999999995"/>
  </r>
  <r>
    <x v="11"/>
    <x v="0"/>
    <x v="2"/>
    <x v="2"/>
    <x v="214"/>
    <n v="1199.8499999999999"/>
  </r>
  <r>
    <x v="7"/>
    <x v="2"/>
    <x v="0"/>
    <x v="4"/>
    <x v="215"/>
    <n v="2727.6"/>
  </r>
  <r>
    <x v="8"/>
    <x v="3"/>
    <x v="1"/>
    <x v="3"/>
    <x v="215"/>
    <n v="3068.5499999999997"/>
  </r>
  <r>
    <x v="4"/>
    <x v="4"/>
    <x v="2"/>
    <x v="1"/>
    <x v="215"/>
    <n v="6399.6"/>
  </r>
  <r>
    <x v="3"/>
    <x v="4"/>
    <x v="2"/>
    <x v="1"/>
    <x v="215"/>
    <n v="7999.5"/>
  </r>
  <r>
    <x v="2"/>
    <x v="0"/>
    <x v="1"/>
    <x v="1"/>
    <x v="215"/>
    <n v="79.989999999999995"/>
  </r>
  <r>
    <x v="0"/>
    <x v="1"/>
    <x v="0"/>
    <x v="0"/>
    <x v="216"/>
    <n v="3379"/>
  </r>
  <r>
    <x v="0"/>
    <x v="3"/>
    <x v="0"/>
    <x v="1"/>
    <x v="216"/>
    <n v="4432.3499999999995"/>
  </r>
  <r>
    <x v="5"/>
    <x v="4"/>
    <x v="0"/>
    <x v="2"/>
    <x v="216"/>
    <n v="7199.55"/>
  </r>
  <r>
    <x v="4"/>
    <x v="4"/>
    <x v="2"/>
    <x v="1"/>
    <x v="217"/>
    <n v="10399.35"/>
  </r>
  <r>
    <x v="10"/>
    <x v="3"/>
    <x v="3"/>
    <x v="3"/>
    <x v="218"/>
    <n v="5114.25"/>
  </r>
  <r>
    <x v="1"/>
    <x v="4"/>
    <x v="0"/>
    <x v="1"/>
    <x v="218"/>
    <n v="8799.4500000000007"/>
  </r>
  <r>
    <x v="3"/>
    <x v="0"/>
    <x v="2"/>
    <x v="1"/>
    <x v="218"/>
    <n v="1119.8599999999999"/>
  </r>
  <r>
    <x v="3"/>
    <x v="4"/>
    <x v="2"/>
    <x v="4"/>
    <x v="219"/>
    <n v="7999.5"/>
  </r>
  <r>
    <x v="2"/>
    <x v="2"/>
    <x v="1"/>
    <x v="2"/>
    <x v="219"/>
    <n v="4091.3999999999996"/>
  </r>
  <r>
    <x v="4"/>
    <x v="3"/>
    <x v="2"/>
    <x v="4"/>
    <x v="220"/>
    <n v="2727.6"/>
  </r>
  <r>
    <x v="10"/>
    <x v="1"/>
    <x v="3"/>
    <x v="0"/>
    <x v="220"/>
    <n v="3379"/>
  </r>
  <r>
    <x v="10"/>
    <x v="3"/>
    <x v="3"/>
    <x v="3"/>
    <x v="220"/>
    <n v="2045.6999999999998"/>
  </r>
  <r>
    <x v="4"/>
    <x v="3"/>
    <x v="2"/>
    <x v="2"/>
    <x v="220"/>
    <n v="2045.6999999999998"/>
  </r>
  <r>
    <x v="9"/>
    <x v="1"/>
    <x v="2"/>
    <x v="2"/>
    <x v="220"/>
    <n v="1013.6999999999999"/>
  </r>
  <r>
    <x v="2"/>
    <x v="0"/>
    <x v="1"/>
    <x v="1"/>
    <x v="221"/>
    <n v="959.87999999999988"/>
  </r>
  <r>
    <x v="3"/>
    <x v="4"/>
    <x v="2"/>
    <x v="2"/>
    <x v="221"/>
    <n v="3199.8"/>
  </r>
  <r>
    <x v="2"/>
    <x v="4"/>
    <x v="1"/>
    <x v="0"/>
    <x v="221"/>
    <n v="15199.050000000001"/>
  </r>
  <r>
    <x v="0"/>
    <x v="3"/>
    <x v="0"/>
    <x v="2"/>
    <x v="221"/>
    <n v="3409.5"/>
  </r>
  <r>
    <x v="0"/>
    <x v="1"/>
    <x v="0"/>
    <x v="4"/>
    <x v="222"/>
    <n v="1013.6999999999999"/>
  </r>
  <r>
    <x v="6"/>
    <x v="0"/>
    <x v="3"/>
    <x v="3"/>
    <x v="223"/>
    <n v="239.96999999999997"/>
  </r>
  <r>
    <x v="6"/>
    <x v="0"/>
    <x v="3"/>
    <x v="2"/>
    <x v="223"/>
    <n v="559.92999999999995"/>
  </r>
  <r>
    <x v="10"/>
    <x v="3"/>
    <x v="3"/>
    <x v="4"/>
    <x v="224"/>
    <n v="340.95"/>
  </r>
  <r>
    <x v="2"/>
    <x v="1"/>
    <x v="1"/>
    <x v="2"/>
    <x v="225"/>
    <n v="675.8"/>
  </r>
  <r>
    <x v="6"/>
    <x v="3"/>
    <x v="3"/>
    <x v="4"/>
    <x v="226"/>
    <n v="4432.3499999999995"/>
  </r>
  <r>
    <x v="8"/>
    <x v="1"/>
    <x v="1"/>
    <x v="3"/>
    <x v="226"/>
    <n v="1689.5"/>
  </r>
  <r>
    <x v="6"/>
    <x v="4"/>
    <x v="3"/>
    <x v="0"/>
    <x v="227"/>
    <n v="4799.7000000000007"/>
  </r>
  <r>
    <x v="4"/>
    <x v="3"/>
    <x v="2"/>
    <x v="2"/>
    <x v="227"/>
    <n v="340.95"/>
  </r>
  <r>
    <x v="9"/>
    <x v="4"/>
    <x v="2"/>
    <x v="1"/>
    <x v="227"/>
    <n v="11999.25"/>
  </r>
  <r>
    <x v="3"/>
    <x v="2"/>
    <x v="2"/>
    <x v="1"/>
    <x v="227"/>
    <n v="1022.8499999999999"/>
  </r>
  <r>
    <x v="9"/>
    <x v="1"/>
    <x v="2"/>
    <x v="2"/>
    <x v="227"/>
    <n v="1689.5"/>
  </r>
  <r>
    <x v="6"/>
    <x v="2"/>
    <x v="3"/>
    <x v="2"/>
    <x v="228"/>
    <n v="4091.3999999999996"/>
  </r>
  <r>
    <x v="11"/>
    <x v="4"/>
    <x v="2"/>
    <x v="3"/>
    <x v="228"/>
    <n v="8799.4500000000007"/>
  </r>
  <r>
    <x v="10"/>
    <x v="4"/>
    <x v="3"/>
    <x v="1"/>
    <x v="228"/>
    <n v="3199.8"/>
  </r>
  <r>
    <x v="9"/>
    <x v="0"/>
    <x v="2"/>
    <x v="2"/>
    <x v="228"/>
    <n v="879.89"/>
  </r>
  <r>
    <x v="3"/>
    <x v="1"/>
    <x v="2"/>
    <x v="1"/>
    <x v="229"/>
    <n v="168.95"/>
  </r>
  <r>
    <x v="10"/>
    <x v="3"/>
    <x v="3"/>
    <x v="1"/>
    <x v="229"/>
    <n v="3068.5499999999997"/>
  </r>
  <r>
    <x v="1"/>
    <x v="3"/>
    <x v="0"/>
    <x v="0"/>
    <x v="230"/>
    <n v="6478.05"/>
  </r>
  <r>
    <x v="3"/>
    <x v="3"/>
    <x v="2"/>
    <x v="0"/>
    <x v="230"/>
    <n v="2045.6999999999998"/>
  </r>
  <r>
    <x v="0"/>
    <x v="0"/>
    <x v="0"/>
    <x v="0"/>
    <x v="230"/>
    <n v="1599.8"/>
  </r>
  <r>
    <x v="5"/>
    <x v="4"/>
    <x v="0"/>
    <x v="4"/>
    <x v="230"/>
    <n v="7199.55"/>
  </r>
  <r>
    <x v="9"/>
    <x v="0"/>
    <x v="2"/>
    <x v="0"/>
    <x v="230"/>
    <n v="1519.81"/>
  </r>
  <r>
    <x v="2"/>
    <x v="1"/>
    <x v="1"/>
    <x v="1"/>
    <x v="231"/>
    <n v="1013.6999999999999"/>
  </r>
  <r>
    <x v="4"/>
    <x v="4"/>
    <x v="2"/>
    <x v="0"/>
    <x v="232"/>
    <n v="11199.300000000001"/>
  </r>
  <r>
    <x v="11"/>
    <x v="1"/>
    <x v="2"/>
    <x v="0"/>
    <x v="233"/>
    <n v="3041.1"/>
  </r>
  <r>
    <x v="4"/>
    <x v="1"/>
    <x v="2"/>
    <x v="4"/>
    <x v="233"/>
    <n v="168.95"/>
  </r>
  <r>
    <x v="3"/>
    <x v="1"/>
    <x v="2"/>
    <x v="4"/>
    <x v="233"/>
    <n v="168.95"/>
  </r>
  <r>
    <x v="5"/>
    <x v="3"/>
    <x v="0"/>
    <x v="0"/>
    <x v="233"/>
    <n v="4091.3999999999996"/>
  </r>
  <r>
    <x v="9"/>
    <x v="0"/>
    <x v="2"/>
    <x v="3"/>
    <x v="233"/>
    <n v="1199.8499999999999"/>
  </r>
  <r>
    <x v="7"/>
    <x v="0"/>
    <x v="0"/>
    <x v="4"/>
    <x v="234"/>
    <n v="319.95999999999998"/>
  </r>
  <r>
    <x v="10"/>
    <x v="3"/>
    <x v="3"/>
    <x v="3"/>
    <x v="234"/>
    <n v="340.95"/>
  </r>
  <r>
    <x v="1"/>
    <x v="2"/>
    <x v="0"/>
    <x v="1"/>
    <x v="234"/>
    <n v="5114.25"/>
  </r>
  <r>
    <x v="0"/>
    <x v="1"/>
    <x v="0"/>
    <x v="1"/>
    <x v="234"/>
    <n v="675.8"/>
  </r>
  <r>
    <x v="1"/>
    <x v="3"/>
    <x v="0"/>
    <x v="2"/>
    <x v="234"/>
    <n v="2045.6999999999998"/>
  </r>
  <r>
    <x v="2"/>
    <x v="2"/>
    <x v="1"/>
    <x v="2"/>
    <x v="234"/>
    <n v="2386.65"/>
  </r>
  <r>
    <x v="10"/>
    <x v="1"/>
    <x v="3"/>
    <x v="0"/>
    <x v="234"/>
    <n v="1013.6999999999999"/>
  </r>
  <r>
    <x v="8"/>
    <x v="4"/>
    <x v="1"/>
    <x v="3"/>
    <x v="234"/>
    <n v="11999.25"/>
  </r>
  <r>
    <x v="8"/>
    <x v="1"/>
    <x v="1"/>
    <x v="2"/>
    <x v="234"/>
    <n v="2365.2999999999997"/>
  </r>
  <r>
    <x v="8"/>
    <x v="3"/>
    <x v="1"/>
    <x v="2"/>
    <x v="234"/>
    <n v="340.95"/>
  </r>
  <r>
    <x v="6"/>
    <x v="1"/>
    <x v="3"/>
    <x v="2"/>
    <x v="235"/>
    <n v="2027.3999999999999"/>
  </r>
  <r>
    <x v="0"/>
    <x v="1"/>
    <x v="0"/>
    <x v="0"/>
    <x v="236"/>
    <n v="1351.6"/>
  </r>
  <r>
    <x v="3"/>
    <x v="2"/>
    <x v="2"/>
    <x v="2"/>
    <x v="237"/>
    <n v="4091.3999999999996"/>
  </r>
  <r>
    <x v="6"/>
    <x v="1"/>
    <x v="3"/>
    <x v="4"/>
    <x v="237"/>
    <n v="1689.5"/>
  </r>
  <r>
    <x v="6"/>
    <x v="2"/>
    <x v="3"/>
    <x v="4"/>
    <x v="238"/>
    <n v="1363.8"/>
  </r>
  <r>
    <x v="11"/>
    <x v="3"/>
    <x v="2"/>
    <x v="2"/>
    <x v="238"/>
    <n v="340.95"/>
  </r>
  <r>
    <x v="3"/>
    <x v="0"/>
    <x v="2"/>
    <x v="4"/>
    <x v="239"/>
    <n v="79.989999999999995"/>
  </r>
  <r>
    <x v="0"/>
    <x v="4"/>
    <x v="0"/>
    <x v="3"/>
    <x v="239"/>
    <n v="2399.8500000000004"/>
  </r>
  <r>
    <x v="11"/>
    <x v="3"/>
    <x v="2"/>
    <x v="0"/>
    <x v="240"/>
    <n v="4432.3499999999995"/>
  </r>
  <r>
    <x v="7"/>
    <x v="0"/>
    <x v="0"/>
    <x v="3"/>
    <x v="240"/>
    <n v="159.97999999999999"/>
  </r>
  <r>
    <x v="2"/>
    <x v="0"/>
    <x v="1"/>
    <x v="4"/>
    <x v="241"/>
    <n v="319.95999999999998"/>
  </r>
  <r>
    <x v="5"/>
    <x v="0"/>
    <x v="0"/>
    <x v="1"/>
    <x v="241"/>
    <n v="79.989999999999995"/>
  </r>
  <r>
    <x v="5"/>
    <x v="3"/>
    <x v="0"/>
    <x v="1"/>
    <x v="241"/>
    <n v="1022.8499999999999"/>
  </r>
  <r>
    <x v="3"/>
    <x v="2"/>
    <x v="2"/>
    <x v="3"/>
    <x v="242"/>
    <n v="2727.6"/>
  </r>
  <r>
    <x v="5"/>
    <x v="4"/>
    <x v="0"/>
    <x v="0"/>
    <x v="243"/>
    <n v="8799.4500000000007"/>
  </r>
  <r>
    <x v="6"/>
    <x v="1"/>
    <x v="3"/>
    <x v="4"/>
    <x v="244"/>
    <n v="1182.6499999999999"/>
  </r>
  <r>
    <x v="7"/>
    <x v="2"/>
    <x v="0"/>
    <x v="4"/>
    <x v="245"/>
    <n v="2045.6999999999998"/>
  </r>
  <r>
    <x v="7"/>
    <x v="3"/>
    <x v="0"/>
    <x v="4"/>
    <x v="245"/>
    <n v="2386.65"/>
  </r>
  <r>
    <x v="2"/>
    <x v="4"/>
    <x v="1"/>
    <x v="4"/>
    <x v="245"/>
    <n v="10399.35"/>
  </r>
  <r>
    <x v="8"/>
    <x v="4"/>
    <x v="1"/>
    <x v="3"/>
    <x v="245"/>
    <n v="3999.75"/>
  </r>
  <r>
    <x v="7"/>
    <x v="1"/>
    <x v="0"/>
    <x v="1"/>
    <x v="245"/>
    <n v="337.9"/>
  </r>
  <r>
    <x v="7"/>
    <x v="3"/>
    <x v="0"/>
    <x v="2"/>
    <x v="245"/>
    <n v="681.9"/>
  </r>
  <r>
    <x v="4"/>
    <x v="0"/>
    <x v="2"/>
    <x v="2"/>
    <x v="246"/>
    <n v="959.87999999999988"/>
  </r>
  <r>
    <x v="8"/>
    <x v="3"/>
    <x v="1"/>
    <x v="4"/>
    <x v="247"/>
    <n v="2045.6999999999998"/>
  </r>
  <r>
    <x v="8"/>
    <x v="2"/>
    <x v="1"/>
    <x v="1"/>
    <x v="247"/>
    <n v="340.95"/>
  </r>
  <r>
    <x v="9"/>
    <x v="0"/>
    <x v="2"/>
    <x v="4"/>
    <x v="248"/>
    <n v="959.87999999999988"/>
  </r>
  <r>
    <x v="3"/>
    <x v="4"/>
    <x v="2"/>
    <x v="4"/>
    <x v="248"/>
    <n v="1599.9"/>
  </r>
  <r>
    <x v="8"/>
    <x v="2"/>
    <x v="1"/>
    <x v="3"/>
    <x v="248"/>
    <n v="1704.75"/>
  </r>
  <r>
    <x v="8"/>
    <x v="3"/>
    <x v="1"/>
    <x v="1"/>
    <x v="248"/>
    <n v="2727.6"/>
  </r>
  <r>
    <x v="10"/>
    <x v="3"/>
    <x v="3"/>
    <x v="0"/>
    <x v="248"/>
    <n v="6137.0999999999995"/>
  </r>
  <r>
    <x v="6"/>
    <x v="1"/>
    <x v="3"/>
    <x v="1"/>
    <x v="248"/>
    <n v="168.95"/>
  </r>
  <r>
    <x v="3"/>
    <x v="3"/>
    <x v="2"/>
    <x v="4"/>
    <x v="249"/>
    <n v="1363.8"/>
  </r>
  <r>
    <x v="0"/>
    <x v="3"/>
    <x v="0"/>
    <x v="0"/>
    <x v="250"/>
    <n v="5455.2"/>
  </r>
  <r>
    <x v="7"/>
    <x v="2"/>
    <x v="0"/>
    <x v="1"/>
    <x v="251"/>
    <n v="681.9"/>
  </r>
  <r>
    <x v="5"/>
    <x v="2"/>
    <x v="3"/>
    <x v="2"/>
    <x v="251"/>
    <n v="1704.75"/>
  </r>
  <r>
    <x v="8"/>
    <x v="1"/>
    <x v="1"/>
    <x v="0"/>
    <x v="251"/>
    <n v="3041.1"/>
  </r>
  <r>
    <x v="10"/>
    <x v="0"/>
    <x v="3"/>
    <x v="3"/>
    <x v="251"/>
    <n v="639.91999999999996"/>
  </r>
  <r>
    <x v="8"/>
    <x v="4"/>
    <x v="1"/>
    <x v="1"/>
    <x v="251"/>
    <n v="10399.35"/>
  </r>
  <r>
    <x v="0"/>
    <x v="4"/>
    <x v="0"/>
    <x v="1"/>
    <x v="251"/>
    <n v="3999.75"/>
  </r>
  <r>
    <x v="6"/>
    <x v="1"/>
    <x v="3"/>
    <x v="3"/>
    <x v="252"/>
    <n v="2027.3999999999999"/>
  </r>
  <r>
    <x v="0"/>
    <x v="1"/>
    <x v="0"/>
    <x v="3"/>
    <x v="252"/>
    <n v="2534.25"/>
  </r>
  <r>
    <x v="3"/>
    <x v="4"/>
    <x v="2"/>
    <x v="4"/>
    <x v="253"/>
    <n v="7199.55"/>
  </r>
  <r>
    <x v="1"/>
    <x v="2"/>
    <x v="0"/>
    <x v="2"/>
    <x v="253"/>
    <n v="1704.75"/>
  </r>
  <r>
    <x v="7"/>
    <x v="4"/>
    <x v="0"/>
    <x v="4"/>
    <x v="254"/>
    <n v="3199.8"/>
  </r>
  <r>
    <x v="2"/>
    <x v="3"/>
    <x v="1"/>
    <x v="2"/>
    <x v="254"/>
    <n v="5114.25"/>
  </r>
  <r>
    <x v="3"/>
    <x v="1"/>
    <x v="2"/>
    <x v="4"/>
    <x v="254"/>
    <n v="337.9"/>
  </r>
  <r>
    <x v="9"/>
    <x v="4"/>
    <x v="2"/>
    <x v="4"/>
    <x v="255"/>
    <n v="7999.5"/>
  </r>
  <r>
    <x v="5"/>
    <x v="1"/>
    <x v="0"/>
    <x v="1"/>
    <x v="255"/>
    <n v="2196.35"/>
  </r>
  <r>
    <x v="4"/>
    <x v="3"/>
    <x v="2"/>
    <x v="1"/>
    <x v="256"/>
    <n v="681.9"/>
  </r>
  <r>
    <x v="3"/>
    <x v="4"/>
    <x v="2"/>
    <x v="0"/>
    <x v="257"/>
    <n v="6399.6"/>
  </r>
  <r>
    <x v="5"/>
    <x v="1"/>
    <x v="0"/>
    <x v="0"/>
    <x v="258"/>
    <n v="1858.4499999999998"/>
  </r>
  <r>
    <x v="5"/>
    <x v="1"/>
    <x v="0"/>
    <x v="1"/>
    <x v="258"/>
    <n v="337.9"/>
  </r>
  <r>
    <x v="11"/>
    <x v="4"/>
    <x v="2"/>
    <x v="4"/>
    <x v="258"/>
    <n v="5599.6500000000005"/>
  </r>
  <r>
    <x v="8"/>
    <x v="2"/>
    <x v="1"/>
    <x v="1"/>
    <x v="258"/>
    <n v="3750.45"/>
  </r>
  <r>
    <x v="9"/>
    <x v="3"/>
    <x v="2"/>
    <x v="2"/>
    <x v="258"/>
    <n v="3750.45"/>
  </r>
  <r>
    <x v="8"/>
    <x v="4"/>
    <x v="1"/>
    <x v="2"/>
    <x v="259"/>
    <n v="5599.6500000000005"/>
  </r>
  <r>
    <x v="4"/>
    <x v="2"/>
    <x v="2"/>
    <x v="2"/>
    <x v="259"/>
    <n v="2045.6999999999998"/>
  </r>
  <r>
    <x v="11"/>
    <x v="4"/>
    <x v="2"/>
    <x v="4"/>
    <x v="259"/>
    <n v="10399.35"/>
  </r>
  <r>
    <x v="3"/>
    <x v="0"/>
    <x v="2"/>
    <x v="4"/>
    <x v="259"/>
    <n v="79.989999999999995"/>
  </r>
  <r>
    <x v="6"/>
    <x v="3"/>
    <x v="3"/>
    <x v="1"/>
    <x v="259"/>
    <n v="2727.6"/>
  </r>
  <r>
    <x v="0"/>
    <x v="4"/>
    <x v="0"/>
    <x v="4"/>
    <x v="260"/>
    <n v="1599.9"/>
  </r>
  <r>
    <x v="8"/>
    <x v="2"/>
    <x v="1"/>
    <x v="0"/>
    <x v="260"/>
    <n v="5796.15"/>
  </r>
  <r>
    <x v="0"/>
    <x v="1"/>
    <x v="0"/>
    <x v="3"/>
    <x v="260"/>
    <n v="1182.6499999999999"/>
  </r>
  <r>
    <x v="8"/>
    <x v="2"/>
    <x v="1"/>
    <x v="3"/>
    <x v="261"/>
    <n v="2045.6999999999998"/>
  </r>
  <r>
    <x v="6"/>
    <x v="0"/>
    <x v="3"/>
    <x v="0"/>
    <x v="262"/>
    <n v="719.91"/>
  </r>
  <r>
    <x v="6"/>
    <x v="1"/>
    <x v="3"/>
    <x v="1"/>
    <x v="262"/>
    <n v="1858.4499999999998"/>
  </r>
  <r>
    <x v="0"/>
    <x v="1"/>
    <x v="0"/>
    <x v="0"/>
    <x v="262"/>
    <n v="1520.55"/>
  </r>
  <r>
    <x v="11"/>
    <x v="1"/>
    <x v="2"/>
    <x v="2"/>
    <x v="262"/>
    <n v="1520.55"/>
  </r>
  <r>
    <x v="8"/>
    <x v="2"/>
    <x v="1"/>
    <x v="3"/>
    <x v="263"/>
    <n v="3409.5"/>
  </r>
  <r>
    <x v="2"/>
    <x v="0"/>
    <x v="1"/>
    <x v="3"/>
    <x v="263"/>
    <n v="79.989999999999995"/>
  </r>
  <r>
    <x v="5"/>
    <x v="1"/>
    <x v="0"/>
    <x v="1"/>
    <x v="263"/>
    <n v="2196.35"/>
  </r>
  <r>
    <x v="4"/>
    <x v="0"/>
    <x v="2"/>
    <x v="4"/>
    <x v="264"/>
    <n v="1039.8699999999999"/>
  </r>
  <r>
    <x v="8"/>
    <x v="2"/>
    <x v="1"/>
    <x v="0"/>
    <x v="264"/>
    <n v="5455.2"/>
  </r>
  <r>
    <x v="9"/>
    <x v="1"/>
    <x v="2"/>
    <x v="0"/>
    <x v="264"/>
    <n v="1858.4499999999998"/>
  </r>
  <r>
    <x v="1"/>
    <x v="0"/>
    <x v="0"/>
    <x v="0"/>
    <x v="264"/>
    <n v="799.9"/>
  </r>
  <r>
    <x v="9"/>
    <x v="1"/>
    <x v="2"/>
    <x v="3"/>
    <x v="264"/>
    <n v="168.95"/>
  </r>
  <r>
    <x v="6"/>
    <x v="3"/>
    <x v="3"/>
    <x v="1"/>
    <x v="264"/>
    <n v="681.9"/>
  </r>
  <r>
    <x v="0"/>
    <x v="2"/>
    <x v="0"/>
    <x v="2"/>
    <x v="264"/>
    <n v="1363.8"/>
  </r>
  <r>
    <x v="6"/>
    <x v="4"/>
    <x v="3"/>
    <x v="3"/>
    <x v="264"/>
    <n v="799.95"/>
  </r>
  <r>
    <x v="2"/>
    <x v="4"/>
    <x v="1"/>
    <x v="4"/>
    <x v="265"/>
    <n v="5599.6500000000005"/>
  </r>
  <r>
    <x v="2"/>
    <x v="3"/>
    <x v="1"/>
    <x v="4"/>
    <x v="266"/>
    <n v="3409.5"/>
  </r>
  <r>
    <x v="0"/>
    <x v="1"/>
    <x v="0"/>
    <x v="3"/>
    <x v="266"/>
    <n v="1013.6999999999999"/>
  </r>
  <r>
    <x v="5"/>
    <x v="4"/>
    <x v="0"/>
    <x v="1"/>
    <x v="267"/>
    <n v="2399.8500000000004"/>
  </r>
  <r>
    <x v="6"/>
    <x v="3"/>
    <x v="3"/>
    <x v="4"/>
    <x v="267"/>
    <n v="681.9"/>
  </r>
  <r>
    <x v="2"/>
    <x v="2"/>
    <x v="1"/>
    <x v="3"/>
    <x v="267"/>
    <n v="4432.3499999999995"/>
  </r>
  <r>
    <x v="7"/>
    <x v="1"/>
    <x v="0"/>
    <x v="0"/>
    <x v="268"/>
    <n v="2534.25"/>
  </r>
  <r>
    <x v="6"/>
    <x v="3"/>
    <x v="3"/>
    <x v="2"/>
    <x v="269"/>
    <n v="1022.8499999999999"/>
  </r>
  <r>
    <x v="2"/>
    <x v="1"/>
    <x v="1"/>
    <x v="2"/>
    <x v="269"/>
    <n v="1351.6"/>
  </r>
  <r>
    <x v="5"/>
    <x v="0"/>
    <x v="0"/>
    <x v="4"/>
    <x v="270"/>
    <n v="639.91999999999996"/>
  </r>
  <r>
    <x v="11"/>
    <x v="0"/>
    <x v="2"/>
    <x v="0"/>
    <x v="270"/>
    <n v="1039.8699999999999"/>
  </r>
  <r>
    <x v="6"/>
    <x v="2"/>
    <x v="3"/>
    <x v="1"/>
    <x v="270"/>
    <n v="3068.5499999999997"/>
  </r>
  <r>
    <x v="7"/>
    <x v="1"/>
    <x v="0"/>
    <x v="1"/>
    <x v="270"/>
    <n v="844.75"/>
  </r>
  <r>
    <x v="3"/>
    <x v="2"/>
    <x v="2"/>
    <x v="1"/>
    <x v="270"/>
    <n v="3409.5"/>
  </r>
  <r>
    <x v="9"/>
    <x v="0"/>
    <x v="2"/>
    <x v="2"/>
    <x v="270"/>
    <n v="799.9"/>
  </r>
  <r>
    <x v="3"/>
    <x v="3"/>
    <x v="2"/>
    <x v="2"/>
    <x v="270"/>
    <n v="1022.8499999999999"/>
  </r>
  <r>
    <x v="11"/>
    <x v="4"/>
    <x v="2"/>
    <x v="0"/>
    <x v="270"/>
    <n v="15199.050000000001"/>
  </r>
  <r>
    <x v="3"/>
    <x v="0"/>
    <x v="2"/>
    <x v="3"/>
    <x v="270"/>
    <n v="959.87999999999988"/>
  </r>
  <r>
    <x v="2"/>
    <x v="4"/>
    <x v="1"/>
    <x v="2"/>
    <x v="270"/>
    <n v="2399.8500000000004"/>
  </r>
  <r>
    <x v="0"/>
    <x v="1"/>
    <x v="0"/>
    <x v="4"/>
    <x v="271"/>
    <n v="675.8"/>
  </r>
  <r>
    <x v="6"/>
    <x v="4"/>
    <x v="3"/>
    <x v="3"/>
    <x v="271"/>
    <n v="3999.75"/>
  </r>
  <r>
    <x v="1"/>
    <x v="3"/>
    <x v="0"/>
    <x v="1"/>
    <x v="271"/>
    <n v="2386.65"/>
  </r>
  <r>
    <x v="11"/>
    <x v="1"/>
    <x v="2"/>
    <x v="1"/>
    <x v="271"/>
    <n v="506.84999999999997"/>
  </r>
  <r>
    <x v="8"/>
    <x v="1"/>
    <x v="1"/>
    <x v="2"/>
    <x v="272"/>
    <n v="506.84999999999997"/>
  </r>
  <r>
    <x v="0"/>
    <x v="2"/>
    <x v="0"/>
    <x v="0"/>
    <x v="273"/>
    <n v="2727.6"/>
  </r>
  <r>
    <x v="1"/>
    <x v="0"/>
    <x v="0"/>
    <x v="1"/>
    <x v="273"/>
    <n v="879.89"/>
  </r>
  <r>
    <x v="4"/>
    <x v="2"/>
    <x v="2"/>
    <x v="2"/>
    <x v="273"/>
    <n v="5114.25"/>
  </r>
  <r>
    <x v="1"/>
    <x v="1"/>
    <x v="0"/>
    <x v="2"/>
    <x v="273"/>
    <n v="506.84999999999997"/>
  </r>
  <r>
    <x v="0"/>
    <x v="3"/>
    <x v="0"/>
    <x v="2"/>
    <x v="273"/>
    <n v="2727.6"/>
  </r>
  <r>
    <x v="5"/>
    <x v="2"/>
    <x v="3"/>
    <x v="1"/>
    <x v="273"/>
    <n v="2386.65"/>
  </r>
  <r>
    <x v="9"/>
    <x v="3"/>
    <x v="2"/>
    <x v="0"/>
    <x v="274"/>
    <n v="4773.3"/>
  </r>
  <r>
    <x v="1"/>
    <x v="3"/>
    <x v="0"/>
    <x v="0"/>
    <x v="274"/>
    <n v="6478.05"/>
  </r>
  <r>
    <x v="1"/>
    <x v="0"/>
    <x v="0"/>
    <x v="3"/>
    <x v="274"/>
    <n v="319.95999999999998"/>
  </r>
  <r>
    <x v="9"/>
    <x v="3"/>
    <x v="2"/>
    <x v="2"/>
    <x v="274"/>
    <n v="5114.25"/>
  </r>
  <r>
    <x v="0"/>
    <x v="4"/>
    <x v="0"/>
    <x v="4"/>
    <x v="275"/>
    <n v="7999.5"/>
  </r>
  <r>
    <x v="9"/>
    <x v="4"/>
    <x v="2"/>
    <x v="1"/>
    <x v="275"/>
    <n v="799.95"/>
  </r>
  <r>
    <x v="3"/>
    <x v="3"/>
    <x v="2"/>
    <x v="1"/>
    <x v="275"/>
    <n v="2727.6"/>
  </r>
  <r>
    <x v="1"/>
    <x v="4"/>
    <x v="0"/>
    <x v="0"/>
    <x v="276"/>
    <n v="11199.300000000001"/>
  </r>
  <r>
    <x v="0"/>
    <x v="3"/>
    <x v="0"/>
    <x v="0"/>
    <x v="276"/>
    <n v="2727.6"/>
  </r>
  <r>
    <x v="10"/>
    <x v="4"/>
    <x v="3"/>
    <x v="2"/>
    <x v="276"/>
    <n v="1599.9"/>
  </r>
  <r>
    <x v="0"/>
    <x v="4"/>
    <x v="0"/>
    <x v="3"/>
    <x v="276"/>
    <n v="7999.5"/>
  </r>
  <r>
    <x v="8"/>
    <x v="2"/>
    <x v="1"/>
    <x v="2"/>
    <x v="276"/>
    <n v="3409.5"/>
  </r>
  <r>
    <x v="0"/>
    <x v="3"/>
    <x v="0"/>
    <x v="2"/>
    <x v="276"/>
    <n v="3409.5"/>
  </r>
  <r>
    <x v="6"/>
    <x v="1"/>
    <x v="3"/>
    <x v="4"/>
    <x v="277"/>
    <n v="337.9"/>
  </r>
  <r>
    <x v="0"/>
    <x v="4"/>
    <x v="0"/>
    <x v="3"/>
    <x v="277"/>
    <n v="11199.300000000001"/>
  </r>
  <r>
    <x v="0"/>
    <x v="4"/>
    <x v="0"/>
    <x v="3"/>
    <x v="277"/>
    <n v="4799.7000000000007"/>
  </r>
  <r>
    <x v="0"/>
    <x v="1"/>
    <x v="0"/>
    <x v="3"/>
    <x v="277"/>
    <n v="168.95"/>
  </r>
  <r>
    <x v="2"/>
    <x v="4"/>
    <x v="1"/>
    <x v="0"/>
    <x v="278"/>
    <n v="14399.1"/>
  </r>
  <r>
    <x v="6"/>
    <x v="2"/>
    <x v="3"/>
    <x v="0"/>
    <x v="279"/>
    <n v="4773.3"/>
  </r>
  <r>
    <x v="0"/>
    <x v="3"/>
    <x v="0"/>
    <x v="3"/>
    <x v="279"/>
    <n v="3068.5499999999997"/>
  </r>
  <r>
    <x v="10"/>
    <x v="0"/>
    <x v="3"/>
    <x v="2"/>
    <x v="279"/>
    <n v="399.95"/>
  </r>
  <r>
    <x v="0"/>
    <x v="1"/>
    <x v="0"/>
    <x v="4"/>
    <x v="280"/>
    <n v="506.84999999999997"/>
  </r>
  <r>
    <x v="5"/>
    <x v="2"/>
    <x v="3"/>
    <x v="0"/>
    <x v="280"/>
    <n v="5796.15"/>
  </r>
  <r>
    <x v="0"/>
    <x v="3"/>
    <x v="0"/>
    <x v="1"/>
    <x v="280"/>
    <n v="4091.3999999999996"/>
  </r>
  <r>
    <x v="10"/>
    <x v="1"/>
    <x v="3"/>
    <x v="3"/>
    <x v="281"/>
    <n v="2365.2999999999997"/>
  </r>
  <r>
    <x v="0"/>
    <x v="3"/>
    <x v="0"/>
    <x v="2"/>
    <x v="282"/>
    <n v="681.9"/>
  </r>
  <r>
    <x v="7"/>
    <x v="3"/>
    <x v="0"/>
    <x v="1"/>
    <x v="283"/>
    <n v="4773.3"/>
  </r>
  <r>
    <x v="11"/>
    <x v="3"/>
    <x v="2"/>
    <x v="4"/>
    <x v="283"/>
    <n v="3068.5499999999997"/>
  </r>
  <r>
    <x v="3"/>
    <x v="4"/>
    <x v="2"/>
    <x v="3"/>
    <x v="283"/>
    <n v="11999.25"/>
  </r>
  <r>
    <x v="10"/>
    <x v="1"/>
    <x v="3"/>
    <x v="4"/>
    <x v="284"/>
    <n v="1520.55"/>
  </r>
  <r>
    <x v="6"/>
    <x v="3"/>
    <x v="3"/>
    <x v="0"/>
    <x v="284"/>
    <n v="4432.3499999999995"/>
  </r>
  <r>
    <x v="11"/>
    <x v="4"/>
    <x v="2"/>
    <x v="0"/>
    <x v="285"/>
    <n v="9599.4000000000015"/>
  </r>
  <r>
    <x v="7"/>
    <x v="3"/>
    <x v="0"/>
    <x v="1"/>
    <x v="285"/>
    <n v="5114.25"/>
  </r>
  <r>
    <x v="0"/>
    <x v="2"/>
    <x v="0"/>
    <x v="4"/>
    <x v="285"/>
    <n v="3068.5499999999997"/>
  </r>
  <r>
    <x v="8"/>
    <x v="3"/>
    <x v="1"/>
    <x v="3"/>
    <x v="285"/>
    <n v="4432.3499999999995"/>
  </r>
  <r>
    <x v="3"/>
    <x v="0"/>
    <x v="2"/>
    <x v="2"/>
    <x v="285"/>
    <n v="399.95"/>
  </r>
  <r>
    <x v="1"/>
    <x v="3"/>
    <x v="0"/>
    <x v="2"/>
    <x v="286"/>
    <n v="4432.3499999999995"/>
  </r>
  <r>
    <x v="8"/>
    <x v="3"/>
    <x v="1"/>
    <x v="0"/>
    <x v="286"/>
    <n v="4432.3499999999995"/>
  </r>
  <r>
    <x v="4"/>
    <x v="0"/>
    <x v="2"/>
    <x v="4"/>
    <x v="287"/>
    <n v="239.96999999999997"/>
  </r>
  <r>
    <x v="11"/>
    <x v="3"/>
    <x v="2"/>
    <x v="4"/>
    <x v="287"/>
    <n v="4091.3999999999996"/>
  </r>
  <r>
    <x v="2"/>
    <x v="1"/>
    <x v="1"/>
    <x v="1"/>
    <x v="287"/>
    <n v="2534.25"/>
  </r>
  <r>
    <x v="7"/>
    <x v="0"/>
    <x v="0"/>
    <x v="0"/>
    <x v="288"/>
    <n v="1039.8699999999999"/>
  </r>
  <r>
    <x v="5"/>
    <x v="3"/>
    <x v="0"/>
    <x v="4"/>
    <x v="288"/>
    <n v="2386.65"/>
  </r>
  <r>
    <x v="7"/>
    <x v="1"/>
    <x v="0"/>
    <x v="1"/>
    <x v="289"/>
    <n v="2534.25"/>
  </r>
  <r>
    <x v="4"/>
    <x v="0"/>
    <x v="2"/>
    <x v="2"/>
    <x v="289"/>
    <n v="799.9"/>
  </r>
  <r>
    <x v="11"/>
    <x v="4"/>
    <x v="2"/>
    <x v="4"/>
    <x v="289"/>
    <n v="3999.75"/>
  </r>
  <r>
    <x v="6"/>
    <x v="1"/>
    <x v="3"/>
    <x v="2"/>
    <x v="290"/>
    <n v="844.75"/>
  </r>
  <r>
    <x v="3"/>
    <x v="0"/>
    <x v="2"/>
    <x v="2"/>
    <x v="290"/>
    <n v="559.92999999999995"/>
  </r>
  <r>
    <x v="8"/>
    <x v="4"/>
    <x v="1"/>
    <x v="4"/>
    <x v="290"/>
    <n v="11199.300000000001"/>
  </r>
  <r>
    <x v="2"/>
    <x v="0"/>
    <x v="1"/>
    <x v="4"/>
    <x v="290"/>
    <n v="1199.8499999999999"/>
  </r>
  <r>
    <x v="11"/>
    <x v="3"/>
    <x v="2"/>
    <x v="3"/>
    <x v="290"/>
    <n v="3750.45"/>
  </r>
  <r>
    <x v="8"/>
    <x v="1"/>
    <x v="1"/>
    <x v="4"/>
    <x v="291"/>
    <n v="2027.3999999999999"/>
  </r>
  <r>
    <x v="3"/>
    <x v="0"/>
    <x v="2"/>
    <x v="4"/>
    <x v="292"/>
    <n v="479.93999999999994"/>
  </r>
  <r>
    <x v="10"/>
    <x v="1"/>
    <x v="3"/>
    <x v="3"/>
    <x v="292"/>
    <n v="168.95"/>
  </r>
  <r>
    <x v="9"/>
    <x v="2"/>
    <x v="2"/>
    <x v="1"/>
    <x v="292"/>
    <n v="340.95"/>
  </r>
  <r>
    <x v="9"/>
    <x v="2"/>
    <x v="2"/>
    <x v="0"/>
    <x v="292"/>
    <n v="3750.45"/>
  </r>
  <r>
    <x v="2"/>
    <x v="1"/>
    <x v="1"/>
    <x v="0"/>
    <x v="292"/>
    <n v="1013.6999999999999"/>
  </r>
  <r>
    <x v="9"/>
    <x v="2"/>
    <x v="2"/>
    <x v="1"/>
    <x v="292"/>
    <n v="4773.3"/>
  </r>
  <r>
    <x v="0"/>
    <x v="4"/>
    <x v="0"/>
    <x v="4"/>
    <x v="293"/>
    <n v="5599.6500000000005"/>
  </r>
  <r>
    <x v="0"/>
    <x v="3"/>
    <x v="0"/>
    <x v="0"/>
    <x v="294"/>
    <n v="4432.3499999999995"/>
  </r>
  <r>
    <x v="2"/>
    <x v="1"/>
    <x v="1"/>
    <x v="3"/>
    <x v="294"/>
    <n v="1013.6999999999999"/>
  </r>
  <r>
    <x v="8"/>
    <x v="4"/>
    <x v="1"/>
    <x v="0"/>
    <x v="295"/>
    <n v="10399.35"/>
  </r>
  <r>
    <x v="5"/>
    <x v="1"/>
    <x v="0"/>
    <x v="4"/>
    <x v="295"/>
    <n v="675.8"/>
  </r>
  <r>
    <x v="3"/>
    <x v="3"/>
    <x v="2"/>
    <x v="0"/>
    <x v="295"/>
    <n v="3750.45"/>
  </r>
  <r>
    <x v="0"/>
    <x v="1"/>
    <x v="0"/>
    <x v="3"/>
    <x v="295"/>
    <n v="1182.6499999999999"/>
  </r>
  <r>
    <x v="9"/>
    <x v="3"/>
    <x v="2"/>
    <x v="1"/>
    <x v="295"/>
    <n v="1704.75"/>
  </r>
  <r>
    <x v="11"/>
    <x v="1"/>
    <x v="2"/>
    <x v="2"/>
    <x v="295"/>
    <n v="844.75"/>
  </r>
  <r>
    <x v="1"/>
    <x v="2"/>
    <x v="0"/>
    <x v="4"/>
    <x v="296"/>
    <n v="3068.5499999999997"/>
  </r>
  <r>
    <x v="9"/>
    <x v="3"/>
    <x v="2"/>
    <x v="0"/>
    <x v="296"/>
    <n v="4432.3499999999995"/>
  </r>
  <r>
    <x v="7"/>
    <x v="2"/>
    <x v="0"/>
    <x v="3"/>
    <x v="296"/>
    <n v="681.9"/>
  </r>
  <r>
    <x v="11"/>
    <x v="2"/>
    <x v="2"/>
    <x v="0"/>
    <x v="296"/>
    <n v="2727.6"/>
  </r>
  <r>
    <x v="10"/>
    <x v="0"/>
    <x v="3"/>
    <x v="3"/>
    <x v="297"/>
    <n v="319.95999999999998"/>
  </r>
  <r>
    <x v="10"/>
    <x v="4"/>
    <x v="3"/>
    <x v="2"/>
    <x v="298"/>
    <n v="11199.300000000001"/>
  </r>
  <r>
    <x v="1"/>
    <x v="3"/>
    <x v="0"/>
    <x v="3"/>
    <x v="299"/>
    <n v="3750.45"/>
  </r>
  <r>
    <x v="0"/>
    <x v="1"/>
    <x v="0"/>
    <x v="3"/>
    <x v="299"/>
    <n v="1858.4499999999998"/>
  </r>
  <r>
    <x v="6"/>
    <x v="4"/>
    <x v="3"/>
    <x v="0"/>
    <x v="300"/>
    <n v="8799.4500000000007"/>
  </r>
  <r>
    <x v="1"/>
    <x v="0"/>
    <x v="0"/>
    <x v="0"/>
    <x v="300"/>
    <n v="1519.81"/>
  </r>
  <r>
    <x v="6"/>
    <x v="2"/>
    <x v="3"/>
    <x v="0"/>
    <x v="301"/>
    <n v="4091.3999999999996"/>
  </r>
  <r>
    <x v="2"/>
    <x v="3"/>
    <x v="1"/>
    <x v="1"/>
    <x v="301"/>
    <n v="4091.3999999999996"/>
  </r>
  <r>
    <x v="0"/>
    <x v="4"/>
    <x v="0"/>
    <x v="1"/>
    <x v="301"/>
    <n v="2399.8500000000004"/>
  </r>
  <r>
    <x v="0"/>
    <x v="3"/>
    <x v="0"/>
    <x v="1"/>
    <x v="301"/>
    <n v="5114.25"/>
  </r>
  <r>
    <x v="7"/>
    <x v="4"/>
    <x v="0"/>
    <x v="1"/>
    <x v="302"/>
    <n v="4799.7000000000007"/>
  </r>
  <r>
    <x v="3"/>
    <x v="0"/>
    <x v="2"/>
    <x v="4"/>
    <x v="302"/>
    <n v="559.92999999999995"/>
  </r>
  <r>
    <x v="5"/>
    <x v="3"/>
    <x v="0"/>
    <x v="0"/>
    <x v="302"/>
    <n v="6819"/>
  </r>
  <r>
    <x v="0"/>
    <x v="4"/>
    <x v="0"/>
    <x v="0"/>
    <x v="302"/>
    <n v="7199.55"/>
  </r>
  <r>
    <x v="5"/>
    <x v="1"/>
    <x v="0"/>
    <x v="4"/>
    <x v="303"/>
    <n v="1520.55"/>
  </r>
  <r>
    <x v="3"/>
    <x v="1"/>
    <x v="2"/>
    <x v="0"/>
    <x v="303"/>
    <n v="3210.0499999999997"/>
  </r>
  <r>
    <x v="5"/>
    <x v="0"/>
    <x v="0"/>
    <x v="3"/>
    <x v="303"/>
    <n v="239.96999999999997"/>
  </r>
  <r>
    <x v="9"/>
    <x v="1"/>
    <x v="2"/>
    <x v="4"/>
    <x v="303"/>
    <n v="506.84999999999997"/>
  </r>
  <r>
    <x v="8"/>
    <x v="2"/>
    <x v="1"/>
    <x v="0"/>
    <x v="303"/>
    <n v="6137.0999999999995"/>
  </r>
  <r>
    <x v="8"/>
    <x v="3"/>
    <x v="1"/>
    <x v="3"/>
    <x v="303"/>
    <n v="4091.3999999999996"/>
  </r>
  <r>
    <x v="3"/>
    <x v="3"/>
    <x v="2"/>
    <x v="2"/>
    <x v="303"/>
    <n v="5114.25"/>
  </r>
  <r>
    <x v="11"/>
    <x v="4"/>
    <x v="2"/>
    <x v="0"/>
    <x v="304"/>
    <n v="15999"/>
  </r>
  <r>
    <x v="5"/>
    <x v="1"/>
    <x v="0"/>
    <x v="3"/>
    <x v="304"/>
    <n v="2027.3999999999999"/>
  </r>
  <r>
    <x v="2"/>
    <x v="0"/>
    <x v="1"/>
    <x v="3"/>
    <x v="304"/>
    <n v="79.989999999999995"/>
  </r>
  <r>
    <x v="6"/>
    <x v="0"/>
    <x v="3"/>
    <x v="4"/>
    <x v="304"/>
    <n v="879.89"/>
  </r>
  <r>
    <x v="3"/>
    <x v="3"/>
    <x v="2"/>
    <x v="4"/>
    <x v="305"/>
    <n v="1022.8499999999999"/>
  </r>
  <r>
    <x v="6"/>
    <x v="3"/>
    <x v="3"/>
    <x v="0"/>
    <x v="305"/>
    <n v="5455.2"/>
  </r>
  <r>
    <x v="0"/>
    <x v="2"/>
    <x v="0"/>
    <x v="3"/>
    <x v="305"/>
    <n v="1022.8499999999999"/>
  </r>
  <r>
    <x v="0"/>
    <x v="1"/>
    <x v="0"/>
    <x v="0"/>
    <x v="306"/>
    <n v="3379"/>
  </r>
  <r>
    <x v="7"/>
    <x v="3"/>
    <x v="0"/>
    <x v="3"/>
    <x v="306"/>
    <n v="2727.6"/>
  </r>
  <r>
    <x v="2"/>
    <x v="3"/>
    <x v="1"/>
    <x v="1"/>
    <x v="306"/>
    <n v="3068.5499999999997"/>
  </r>
  <r>
    <x v="8"/>
    <x v="3"/>
    <x v="1"/>
    <x v="4"/>
    <x v="307"/>
    <n v="4091.3999999999996"/>
  </r>
  <r>
    <x v="5"/>
    <x v="1"/>
    <x v="0"/>
    <x v="0"/>
    <x v="307"/>
    <n v="1520.55"/>
  </r>
  <r>
    <x v="0"/>
    <x v="0"/>
    <x v="0"/>
    <x v="0"/>
    <x v="307"/>
    <n v="1599.8"/>
  </r>
  <r>
    <x v="9"/>
    <x v="3"/>
    <x v="2"/>
    <x v="3"/>
    <x v="307"/>
    <n v="2045.6999999999998"/>
  </r>
  <r>
    <x v="4"/>
    <x v="0"/>
    <x v="2"/>
    <x v="1"/>
    <x v="307"/>
    <n v="79.989999999999995"/>
  </r>
  <r>
    <x v="9"/>
    <x v="0"/>
    <x v="2"/>
    <x v="2"/>
    <x v="307"/>
    <n v="399.95"/>
  </r>
  <r>
    <x v="11"/>
    <x v="1"/>
    <x v="2"/>
    <x v="2"/>
    <x v="307"/>
    <n v="506.84999999999997"/>
  </r>
  <r>
    <x v="2"/>
    <x v="1"/>
    <x v="1"/>
    <x v="1"/>
    <x v="307"/>
    <n v="1351.6"/>
  </r>
  <r>
    <x v="0"/>
    <x v="2"/>
    <x v="0"/>
    <x v="1"/>
    <x v="307"/>
    <n v="477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4186BE-B3A4-45EB-80D3-6C4FA307C0EC}" name="PivotTable1"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A3:B16" firstHeaderRow="1" firstDataRow="1" firstDataCol="1"/>
  <pivotFields count="6">
    <pivotField axis="axisRow" showAll="0" sortType="ascending">
      <items count="13">
        <item x="5"/>
        <item x="9"/>
        <item x="4"/>
        <item x="2"/>
        <item x="6"/>
        <item x="8"/>
        <item x="10"/>
        <item x="3"/>
        <item x="7"/>
        <item x="0"/>
        <item x="11"/>
        <item x="1"/>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0"/>
  </rowFields>
  <rowItems count="13">
    <i>
      <x v="6"/>
    </i>
    <i>
      <x v="11"/>
    </i>
    <i>
      <x v="5"/>
    </i>
    <i>
      <x v="1"/>
    </i>
    <i>
      <x v="10"/>
    </i>
    <i>
      <x/>
    </i>
    <i>
      <x v="3"/>
    </i>
    <i>
      <x v="2"/>
    </i>
    <i>
      <x v="8"/>
    </i>
    <i>
      <x v="4"/>
    </i>
    <i>
      <x v="7"/>
    </i>
    <i>
      <x v="9"/>
    </i>
    <i t="grand">
      <x/>
    </i>
  </rowItems>
  <colItems count="1">
    <i/>
  </colItems>
  <dataFields count="1">
    <dataField name="Sum of Sales (USD)"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E8890-354D-4F8E-879B-805C2689FCD5}" name="PivotTable1"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0">
  <location ref="A3:B16"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axis="axisRow" numFmtId="15" showAll="0">
      <items count="15">
        <item x="0"/>
        <item x="1"/>
        <item x="2"/>
        <item x="3"/>
        <item x="4"/>
        <item x="5"/>
        <item x="6"/>
        <item x="7"/>
        <item x="8"/>
        <item x="9"/>
        <item x="10"/>
        <item x="11"/>
        <item x="12"/>
        <item x="13"/>
        <item t="default"/>
      </items>
    </pivotField>
    <pivotField dataField="1" numFmtId="3" showAll="0"/>
  </pivotFields>
  <rowFields count="1">
    <field x="4"/>
  </rowFields>
  <rowItems count="13">
    <i>
      <x v="1"/>
    </i>
    <i>
      <x v="2"/>
    </i>
    <i>
      <x v="3"/>
    </i>
    <i>
      <x v="4"/>
    </i>
    <i>
      <x v="5"/>
    </i>
    <i>
      <x v="6"/>
    </i>
    <i>
      <x v="7"/>
    </i>
    <i>
      <x v="8"/>
    </i>
    <i>
      <x v="9"/>
    </i>
    <i>
      <x v="10"/>
    </i>
    <i>
      <x v="11"/>
    </i>
    <i>
      <x v="12"/>
    </i>
    <i t="grand">
      <x/>
    </i>
  </rowItems>
  <colItems count="1">
    <i/>
  </colItems>
  <dataFields count="1">
    <dataField name="Sum of Sales (USD)" fld="5"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9BDC1D-D8BA-4B0F-8E79-66AFD01013F8}" name="PivotTable1"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9">
  <location ref="A3:B8"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showAll="0"/>
    <pivotField axis="axisRow"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2"/>
  </rowFields>
  <rowItems count="5">
    <i>
      <x/>
    </i>
    <i>
      <x v="1"/>
    </i>
    <i>
      <x v="2"/>
    </i>
    <i>
      <x v="3"/>
    </i>
    <i t="grand">
      <x/>
    </i>
  </rowItems>
  <colItems count="1">
    <i/>
  </colItems>
  <dataFields count="1">
    <dataField name="Sum of Sales (USD)" fld="5"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D8D161-75F7-4DEB-A1EF-F65CD22BE8F5}" name="PivotTable1"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0">
  <location ref="A3:B9"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axis="axisRow" showAll="0">
      <items count="6">
        <item x="1"/>
        <item x="3"/>
        <item x="4"/>
        <item x="0"/>
        <item x="2"/>
        <item t="default"/>
      </items>
    </pivotField>
    <pivotField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1"/>
  </rowFields>
  <rowItems count="6">
    <i>
      <x/>
    </i>
    <i>
      <x v="1"/>
    </i>
    <i>
      <x v="2"/>
    </i>
    <i>
      <x v="3"/>
    </i>
    <i>
      <x v="4"/>
    </i>
    <i t="grand">
      <x/>
    </i>
  </rowItems>
  <colItems count="1">
    <i/>
  </colItems>
  <dataFields count="1">
    <dataField name="Sum of Sales (USD)" fld="5"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7653AE-F4C1-4405-AE5D-8E6EF42D947E}" name="PivotTable1"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5">
  <location ref="A3:B9"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dataField="1" numFmtId="3" showAll="0"/>
  </pivotFields>
  <rowFields count="1">
    <field x="3"/>
  </rowFields>
  <rowItems count="6">
    <i>
      <x v="1"/>
    </i>
    <i>
      <x v="3"/>
    </i>
    <i>
      <x/>
    </i>
    <i>
      <x v="2"/>
    </i>
    <i>
      <x v="4"/>
    </i>
    <i t="grand">
      <x/>
    </i>
  </rowItems>
  <colItems count="1">
    <i/>
  </colItems>
  <dataFields count="1">
    <dataField name="Sum of Sales (USD)" fld="5" baseField="0" baseItem="0" numFmtId="3"/>
  </dataFields>
  <chartFormats count="2">
    <chartFormat chart="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B61868-E8AA-48E1-BE63-8C32BA9530EE}" name="PivotTable4" cacheId="16"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E3:F8" firstHeaderRow="1" firstDataRow="1" firstDataCol="1"/>
  <pivotFields count="6">
    <pivotField showAll="0"/>
    <pivotField showAll="0">
      <items count="6">
        <item x="1"/>
        <item x="3"/>
        <item x="4"/>
        <item x="0"/>
        <item x="2"/>
        <item t="default"/>
      </items>
    </pivotField>
    <pivotField showAll="0">
      <items count="5">
        <item x="0"/>
        <item x="2"/>
        <item x="3"/>
        <item x="1"/>
        <item t="default"/>
      </items>
    </pivotField>
    <pivotField axis="axisRow" dataField="1" showAll="0">
      <items count="6">
        <item x="4"/>
        <item x="0"/>
        <item x="3"/>
        <item x="1"/>
        <item x="2"/>
        <item t="default"/>
      </items>
    </pivotField>
    <pivotField numFmtId="15" showAll="0">
      <items count="15">
        <item x="0"/>
        <item x="1"/>
        <item x="2"/>
        <item x="3"/>
        <item x="4"/>
        <item x="5"/>
        <item x="6"/>
        <item x="7"/>
        <item x="8"/>
        <item x="9"/>
        <item x="10"/>
        <item x="11"/>
        <item x="12"/>
        <item x="13"/>
        <item t="default"/>
      </items>
    </pivotField>
    <pivotField numFmtId="3" showAll="0"/>
  </pivotFields>
  <rowFields count="1">
    <field x="3"/>
  </rowFields>
  <rowItems count="5">
    <i>
      <x/>
    </i>
    <i>
      <x v="1"/>
    </i>
    <i>
      <x v="2"/>
    </i>
    <i>
      <x v="3"/>
    </i>
    <i>
      <x v="4"/>
    </i>
  </rowItems>
  <colItems count="1">
    <i/>
  </colItems>
  <dataFields count="1">
    <dataField name="Count of Customer" fld="3" subtotal="count" baseField="0" baseItem="0"/>
  </dataField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9B94E3-4613-4AC0-93CD-44AC4D42FF58}" name="PivotTable3"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9" firstHeaderRow="1" firstDataRow="1" firstDataCol="1"/>
  <pivotFields count="6">
    <pivotField showAll="0"/>
    <pivotField axis="axisRow" showAll="0">
      <items count="6">
        <item x="1"/>
        <item x="3"/>
        <item x="4"/>
        <item x="0"/>
        <item x="2"/>
        <item t="default"/>
      </items>
    </pivotField>
    <pivotField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1"/>
  </rowFields>
  <rowItems count="6">
    <i>
      <x/>
    </i>
    <i>
      <x v="1"/>
    </i>
    <i>
      <x v="2"/>
    </i>
    <i>
      <x v="3"/>
    </i>
    <i>
      <x v="4"/>
    </i>
    <i t="grand">
      <x/>
    </i>
  </rowItems>
  <colItems count="1">
    <i/>
  </colItems>
  <dataFields count="1">
    <dataField name="Count of Sales (USD)" fld="5" subtotal="count" baseField="0" baseItem="0"/>
  </dataField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1F7F72-C2E9-4DC6-8C33-CFD9AF5BE672}" name="PivotTable5" cacheId="16"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K3:L8" firstHeaderRow="1" firstDataRow="1" firstDataCol="1"/>
  <pivotFields count="6">
    <pivotField showAll="0"/>
    <pivotField axis="axisRow" showAll="0">
      <items count="6">
        <item x="1"/>
        <item x="3"/>
        <item x="4"/>
        <item x="0"/>
        <item x="2"/>
        <item t="default"/>
      </items>
    </pivotField>
    <pivotField showAll="0">
      <items count="5">
        <item x="0"/>
        <item x="2"/>
        <item x="3"/>
        <item x="1"/>
        <item t="default"/>
      </items>
    </pivotField>
    <pivotField dataField="1" showAll="0">
      <items count="6">
        <item x="4"/>
        <item x="0"/>
        <item x="3"/>
        <item x="1"/>
        <item x="2"/>
        <item t="default"/>
      </items>
    </pivotField>
    <pivotField numFmtId="15" showAll="0">
      <items count="15">
        <item x="0"/>
        <item x="1"/>
        <item x="2"/>
        <item x="3"/>
        <item x="4"/>
        <item x="5"/>
        <item x="6"/>
        <item x="7"/>
        <item x="8"/>
        <item x="9"/>
        <item x="10"/>
        <item x="11"/>
        <item x="12"/>
        <item x="13"/>
        <item t="default"/>
      </items>
    </pivotField>
    <pivotField numFmtId="3" showAll="0"/>
  </pivotFields>
  <rowFields count="1">
    <field x="1"/>
  </rowFields>
  <rowItems count="5">
    <i>
      <x/>
    </i>
    <i>
      <x v="1"/>
    </i>
    <i>
      <x v="2"/>
    </i>
    <i>
      <x v="3"/>
    </i>
    <i>
      <x v="4"/>
    </i>
  </rowItems>
  <colItems count="1">
    <i/>
  </colItems>
  <dataFields count="1">
    <dataField name="Count of Customer" fld="3" subtotal="count" baseField="0" baseItem="0"/>
  </dataField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024870-F572-4827-BCAA-25449D8A9DB1}" sourceName="Region">
  <pivotTables>
    <pivotTable tabId="11" name="PivotTable1"/>
    <pivotTable tabId="14" name="PivotTable1"/>
    <pivotTable tabId="13" name="PivotTable1"/>
    <pivotTable tabId="12" name="PivotTable1"/>
    <pivotTable tabId="9" name="PivotTable1"/>
    <pivotTable tabId="18" name="PivotTable3"/>
    <pivotTable tabId="18" name="PivotTable4"/>
    <pivotTable tabId="18" name="PivotTable5"/>
  </pivotTables>
  <data>
    <tabular pivotCacheId="2043594482">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D8F854B-D25C-4F97-9798-242E7864DC58}" cache="Slicer_Region" caption="Region" columnCount="4"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269D8F7-556B-47FC-9F2C-263DB43791FD}" cache="Slicer_Region" caption="Region" columnCount="4"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54C718-06ED-4FD5-BE75-DEB56A5943D2}" name="SalesData" displayName="SalesData" ref="A3:F912" totalsRowShown="0" headerRowDxfId="2">
  <autoFilter ref="A3:F912" xr:uid="{9554C718-06ED-4FD5-BE75-DEB56A5943D2}"/>
  <tableColumns count="6">
    <tableColumn id="1" xr3:uid="{C5C0F2CD-E1C1-4ED4-ABD3-75CAFF296ABF}" name="Salesperson"/>
    <tableColumn id="2" xr3:uid="{A2324247-CA0A-4F15-A0F7-354EB336EFD1}" name="Product Category"/>
    <tableColumn id="3" xr3:uid="{EF44DBFD-ACFC-430E-A6E4-6F6D9B16350E}" name="Region"/>
    <tableColumn id="4" xr3:uid="{0DB92A19-288E-426F-85CE-69BC4CBA32EE}" name="Customer"/>
    <tableColumn id="5" xr3:uid="{AC91BD55-C54E-4C66-8C50-18F1B2492AAD}" name="Date" dataDxfId="1"/>
    <tableColumn id="6" xr3:uid="{2785966F-0C41-4109-AD80-BFC45C169011}" name="Sales (USD)" dataDxfId="0"/>
  </tableColumns>
  <tableStyleInfo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3D9699"/>
      </a:accent1>
      <a:accent2>
        <a:srgbClr val="46ACB0"/>
      </a:accent2>
      <a:accent3>
        <a:srgbClr val="A5A5A5"/>
      </a:accent3>
      <a:accent4>
        <a:srgbClr val="A2E5E8"/>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6A47721-247F-48DF-9F91-0EC29840D98B}" sourceName="Date">
  <pivotTables>
    <pivotTable tabId="14" name="PivotTable1"/>
    <pivotTable tabId="18" name="PivotTable3"/>
    <pivotTable tabId="18" name="PivotTable4"/>
    <pivotTable tabId="18" name="PivotTable5"/>
    <pivotTable tabId="11" name="PivotTable1"/>
    <pivotTable tabId="13" name="PivotTable1"/>
    <pivotTable tabId="12" name="PivotTable1"/>
    <pivotTable tabId="9" name="PivotTable1"/>
  </pivotTables>
  <state minimalRefreshVersion="6" lastRefreshVersion="6" pivotCacheId="2043594482" filterType="dateBetween">
    <selection startDate="2020-01-01T00:00:00" endDate="2020-12-31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F670EDC-A08F-4173-A44C-81B63F7E5590}" cache="NativeTimeline_Date" caption="Date" showHeader="0" showSelectionLabel="0" showTimeLevel="0" showHorizontalScrollbar="0" level="1" selectionLevel="0" scrollPosition="2020-01-01T00:00:00" style="Timeline Style 15"/>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DA79-2B07-4027-B3AE-17B88C7B8730}">
  <sheetPr codeName="Sheet1">
    <pageSetUpPr fitToPage="1"/>
  </sheetPr>
  <dimension ref="A1:W31"/>
  <sheetViews>
    <sheetView showGridLines="0" topLeftCell="A17" workbookViewId="0">
      <selection activeCell="J28" sqref="J28"/>
    </sheetView>
  </sheetViews>
  <sheetFormatPr defaultColWidth="0" defaultRowHeight="13.9" customHeight="1" zeroHeight="1" x14ac:dyDescent="0.35"/>
  <cols>
    <col min="1" max="1" width="2.73046875" style="6" customWidth="1"/>
    <col min="2" max="21" width="9.73046875" style="6" customWidth="1"/>
    <col min="22" max="22" width="11.73046875" style="6" customWidth="1"/>
    <col min="23" max="23" width="9.73046875" style="6" hidden="1" customWidth="1"/>
    <col min="24" max="16384" width="9.1328125" style="6" hidden="1"/>
  </cols>
  <sheetData>
    <row r="1" spans="1:2" ht="13.5" x14ac:dyDescent="0.35">
      <c r="A1" s="5"/>
    </row>
    <row r="2" spans="1:2" ht="13.5" x14ac:dyDescent="0.35">
      <c r="A2" s="5"/>
    </row>
    <row r="3" spans="1:2" ht="13.5" x14ac:dyDescent="0.35">
      <c r="A3" s="5"/>
    </row>
    <row r="4" spans="1:2" ht="13.5" x14ac:dyDescent="0.35">
      <c r="A4" s="5"/>
    </row>
    <row r="5" spans="1:2" ht="13.5" x14ac:dyDescent="0.35">
      <c r="A5" s="5"/>
    </row>
    <row r="6" spans="1:2" ht="17.25" x14ac:dyDescent="0.45">
      <c r="A6" s="5"/>
      <c r="B6" s="7"/>
    </row>
    <row r="7" spans="1:2" ht="17.25" x14ac:dyDescent="0.45">
      <c r="A7" s="5"/>
      <c r="B7" s="7" t="s">
        <v>56</v>
      </c>
    </row>
    <row r="8" spans="1:2" ht="13.5" x14ac:dyDescent="0.35">
      <c r="A8" s="5"/>
    </row>
    <row r="9" spans="1:2" ht="17.25" x14ac:dyDescent="0.45">
      <c r="A9" s="5"/>
      <c r="B9" s="7" t="s">
        <v>55</v>
      </c>
    </row>
    <row r="10" spans="1:2" ht="13.5" x14ac:dyDescent="0.35">
      <c r="A10" s="5"/>
      <c r="B10" s="8"/>
    </row>
    <row r="11" spans="1:2" ht="22.15" customHeight="1" x14ac:dyDescent="0.45">
      <c r="A11" s="5"/>
      <c r="B11" s="9"/>
    </row>
    <row r="12" spans="1:2" ht="22.15" customHeight="1" x14ac:dyDescent="0.35">
      <c r="A12" s="5"/>
    </row>
    <row r="13" spans="1:2" ht="22.15" customHeight="1" x14ac:dyDescent="0.35">
      <c r="A13" s="5"/>
    </row>
    <row r="14" spans="1:2" ht="22.15" customHeight="1" x14ac:dyDescent="0.35">
      <c r="A14" s="5"/>
    </row>
    <row r="15" spans="1:2" ht="22.15" customHeight="1" x14ac:dyDescent="0.35">
      <c r="A15" s="5"/>
    </row>
    <row r="16" spans="1:2" ht="22.15" customHeight="1" x14ac:dyDescent="0.35">
      <c r="A16" s="5"/>
    </row>
    <row r="17" spans="1:2" ht="22.15" customHeight="1" x14ac:dyDescent="0.35">
      <c r="A17" s="5"/>
    </row>
    <row r="18" spans="1:2" ht="22.15" customHeight="1" x14ac:dyDescent="0.35">
      <c r="A18" s="5"/>
    </row>
    <row r="19" spans="1:2" ht="22.15" customHeight="1" x14ac:dyDescent="0.35">
      <c r="A19" s="5"/>
    </row>
    <row r="20" spans="1:2" ht="59.45" customHeight="1" x14ac:dyDescent="0.35">
      <c r="A20" s="5"/>
      <c r="B20" s="10" t="s">
        <v>28</v>
      </c>
    </row>
    <row r="21" spans="1:2" ht="37.9" hidden="1" customHeight="1" x14ac:dyDescent="0.35">
      <c r="A21" s="5"/>
    </row>
    <row r="22" spans="1:2" ht="22.15" hidden="1" customHeight="1" x14ac:dyDescent="0.35">
      <c r="A22" s="5"/>
    </row>
    <row r="23" spans="1:2" ht="19.899999999999999" hidden="1" customHeight="1" x14ac:dyDescent="0.35">
      <c r="A23" s="5"/>
    </row>
    <row r="24" spans="1:2" ht="19.899999999999999" hidden="1" customHeight="1" x14ac:dyDescent="0.35">
      <c r="A24" s="5"/>
    </row>
    <row r="25" spans="1:2" ht="19.899999999999999" hidden="1" customHeight="1" x14ac:dyDescent="0.35">
      <c r="A25" s="5"/>
    </row>
    <row r="26" spans="1:2" ht="13.9" customHeight="1" x14ac:dyDescent="0.35">
      <c r="A26" s="5"/>
    </row>
    <row r="27" spans="1:2" ht="13.9" customHeight="1" x14ac:dyDescent="0.35">
      <c r="A27" s="5"/>
    </row>
    <row r="28" spans="1:2" ht="13.9" customHeight="1" x14ac:dyDescent="0.35"/>
    <row r="29" spans="1:2" ht="13.9" customHeight="1" x14ac:dyDescent="0.35"/>
    <row r="30" spans="1:2" ht="13.9" customHeight="1" x14ac:dyDescent="0.35"/>
    <row r="31" spans="1:2" ht="13.9" customHeight="1" x14ac:dyDescent="0.35"/>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5C64-FC8A-42F1-BDF7-1C126DC00DA6}">
  <sheetPr codeName="Sheet8">
    <pageSetUpPr fitToPage="1"/>
  </sheetPr>
  <dimension ref="A1:X28"/>
  <sheetViews>
    <sheetView showGridLines="0" tabSelected="1" zoomScale="94" workbookViewId="0">
      <selection activeCell="A7" sqref="A7:D7"/>
    </sheetView>
  </sheetViews>
  <sheetFormatPr defaultColWidth="0" defaultRowHeight="14.25" zeroHeight="1" x14ac:dyDescent="0.45"/>
  <cols>
    <col min="1" max="1" width="4.1328125" customWidth="1"/>
    <col min="2" max="21" width="8.86328125" customWidth="1"/>
    <col min="22" max="22" width="15.73046875" customWidth="1"/>
    <col min="23" max="23" width="8.86328125" customWidth="1"/>
    <col min="24" max="24" width="0" hidden="1" customWidth="1"/>
    <col min="25" max="16384" width="8.86328125" hidden="1"/>
  </cols>
  <sheetData>
    <row r="1" spans="1:23" x14ac:dyDescent="0.45">
      <c r="G1" s="18"/>
      <c r="O1" s="17"/>
    </row>
    <row r="2" spans="1:23" ht="21.75" thickBot="1" x14ac:dyDescent="0.85">
      <c r="A2" s="15"/>
      <c r="B2" s="15"/>
      <c r="C2" s="16" t="str">
        <f>Cover!B7</f>
        <v>Excel Class Restaurant</v>
      </c>
      <c r="D2" s="15"/>
      <c r="E2" s="15"/>
      <c r="F2" s="15"/>
      <c r="G2" s="19" t="str">
        <f>Cover!B9</f>
        <v>Sales Dashboard for 2020</v>
      </c>
      <c r="H2" s="15"/>
      <c r="I2" s="15"/>
      <c r="J2" s="15"/>
      <c r="K2" s="15"/>
      <c r="L2" s="15"/>
      <c r="M2" s="15"/>
      <c r="N2" s="15"/>
      <c r="O2" s="15"/>
      <c r="P2" s="15"/>
      <c r="Q2" s="15"/>
      <c r="R2" s="15"/>
      <c r="S2" s="15"/>
      <c r="T2" s="15"/>
      <c r="U2" s="15"/>
      <c r="V2" s="15"/>
      <c r="W2" s="15"/>
    </row>
    <row r="3" spans="1:23" x14ac:dyDescent="0.45"/>
    <row r="4" spans="1:23" ht="15.75" x14ac:dyDescent="0.5">
      <c r="B4" s="22" t="s">
        <v>49</v>
      </c>
      <c r="C4" s="22"/>
      <c r="D4" s="22"/>
    </row>
    <row r="5" spans="1:23" x14ac:dyDescent="0.45"/>
    <row r="6" spans="1:23" x14ac:dyDescent="0.45"/>
    <row r="7" spans="1:23" ht="17.649999999999999" x14ac:dyDescent="0.5">
      <c r="A7" s="21">
        <f>GETPIVOTDATA("Sales (USD)",'Sales by Salesperson'!$A$3)</f>
        <v>2831665.6700000004</v>
      </c>
      <c r="B7" s="21"/>
      <c r="C7" s="21"/>
      <c r="D7" s="21"/>
    </row>
    <row r="8" spans="1:23" x14ac:dyDescent="0.45"/>
    <row r="9" spans="1:23" x14ac:dyDescent="0.45">
      <c r="A9" s="20" t="s">
        <v>48</v>
      </c>
      <c r="B9" s="20"/>
      <c r="C9" s="20"/>
      <c r="D9" s="20"/>
    </row>
    <row r="10" spans="1:23" x14ac:dyDescent="0.45"/>
    <row r="11" spans="1:23" x14ac:dyDescent="0.45"/>
    <row r="12" spans="1:23" x14ac:dyDescent="0.45"/>
    <row r="13" spans="1:23" ht="17.649999999999999" x14ac:dyDescent="0.5">
      <c r="A13" s="21">
        <f>GETPIVOTDATA("Sales (USD)",Count!$A$3)</f>
        <v>909</v>
      </c>
      <c r="B13" s="21"/>
      <c r="C13" s="21"/>
      <c r="D13" s="21"/>
    </row>
    <row r="14" spans="1:23" x14ac:dyDescent="0.45"/>
    <row r="15" spans="1:23" x14ac:dyDescent="0.45">
      <c r="A15" s="20" t="s">
        <v>51</v>
      </c>
      <c r="B15" s="20"/>
      <c r="C15" s="20"/>
      <c r="D15" s="20"/>
    </row>
    <row r="16" spans="1:23" x14ac:dyDescent="0.45"/>
    <row r="17" spans="1:4" x14ac:dyDescent="0.45"/>
    <row r="18" spans="1:4" x14ac:dyDescent="0.45"/>
    <row r="19" spans="1:4" ht="17.649999999999999" x14ac:dyDescent="0.5">
      <c r="A19" s="21">
        <f>Count!H3</f>
        <v>5</v>
      </c>
      <c r="B19" s="21"/>
      <c r="C19" s="21"/>
      <c r="D19" s="21"/>
    </row>
    <row r="20" spans="1:4" x14ac:dyDescent="0.45"/>
    <row r="21" spans="1:4" x14ac:dyDescent="0.45">
      <c r="A21" s="20" t="s">
        <v>53</v>
      </c>
      <c r="B21" s="20"/>
      <c r="C21" s="20"/>
      <c r="D21" s="20"/>
    </row>
    <row r="22" spans="1:4" x14ac:dyDescent="0.45"/>
    <row r="23" spans="1:4" x14ac:dyDescent="0.45"/>
    <row r="24" spans="1:4" x14ac:dyDescent="0.45"/>
    <row r="25" spans="1:4" ht="17.649999999999999" x14ac:dyDescent="0.5">
      <c r="A25" s="21">
        <f>Count!N3</f>
        <v>5</v>
      </c>
      <c r="B25" s="21"/>
      <c r="C25" s="21"/>
      <c r="D25" s="21"/>
    </row>
    <row r="26" spans="1:4" x14ac:dyDescent="0.45"/>
    <row r="27" spans="1:4" x14ac:dyDescent="0.45">
      <c r="A27" s="20" t="s">
        <v>54</v>
      </c>
      <c r="B27" s="20"/>
      <c r="C27" s="20"/>
      <c r="D27" s="20"/>
    </row>
    <row r="28" spans="1:4" x14ac:dyDescent="0.45"/>
  </sheetData>
  <mergeCells count="9">
    <mergeCell ref="A21:D21"/>
    <mergeCell ref="A27:D27"/>
    <mergeCell ref="A25:D25"/>
    <mergeCell ref="B4:D4"/>
    <mergeCell ref="A13:D13"/>
    <mergeCell ref="A15:D15"/>
    <mergeCell ref="A19:D19"/>
    <mergeCell ref="A7:D7"/>
    <mergeCell ref="A9:D9"/>
  </mergeCells>
  <printOptions horizontalCentered="1" verticalCentered="1"/>
  <pageMargins left="0.7" right="0.7" top="0.75" bottom="0.75" header="0.3" footer="0.3"/>
  <pageSetup paperSize="9" scale="6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7FB4-B29F-4018-A03E-BB60681074F3}">
  <sheetPr codeName="Sheet2"/>
  <dimension ref="A1:I912"/>
  <sheetViews>
    <sheetView topLeftCell="A4" zoomScale="136" zoomScaleNormal="136" workbookViewId="0">
      <selection activeCell="A2" sqref="A2"/>
    </sheetView>
  </sheetViews>
  <sheetFormatPr defaultRowHeight="14.25" x14ac:dyDescent="0.45"/>
  <cols>
    <col min="1" max="1" width="16.73046875" bestFit="1" customWidth="1"/>
    <col min="2" max="2" width="17" customWidth="1"/>
    <col min="3" max="3" width="14" customWidth="1"/>
    <col min="4" max="4" width="12.265625" bestFit="1" customWidth="1"/>
    <col min="5" max="5" width="9.86328125" bestFit="1" customWidth="1"/>
    <col min="6" max="6" width="11.73046875" customWidth="1"/>
    <col min="8" max="8" width="9.86328125" bestFit="1" customWidth="1"/>
    <col min="9" max="9" width="17.265625" bestFit="1" customWidth="1"/>
    <col min="10" max="14" width="12.73046875" customWidth="1"/>
    <col min="15" max="15" width="10.86328125" bestFit="1" customWidth="1"/>
    <col min="16" max="16" width="17.265625" bestFit="1" customWidth="1"/>
    <col min="17" max="17" width="18.265625" bestFit="1" customWidth="1"/>
    <col min="18" max="18" width="17.265625" bestFit="1" customWidth="1"/>
    <col min="19" max="19" width="18.265625" bestFit="1" customWidth="1"/>
    <col min="20" max="20" width="22" bestFit="1" customWidth="1"/>
    <col min="21" max="21" width="23" bestFit="1" customWidth="1"/>
  </cols>
  <sheetData>
    <row r="1" spans="1:6" ht="18.399999999999999" thickBot="1" x14ac:dyDescent="0.6">
      <c r="A1" s="4" t="s">
        <v>57</v>
      </c>
    </row>
    <row r="3" spans="1:6" x14ac:dyDescent="0.45">
      <c r="A3" s="2" t="s">
        <v>0</v>
      </c>
      <c r="B3" s="2" t="s">
        <v>1</v>
      </c>
      <c r="C3" s="2" t="s">
        <v>2</v>
      </c>
      <c r="D3" s="2" t="s">
        <v>3</v>
      </c>
      <c r="E3" s="2" t="s">
        <v>4</v>
      </c>
      <c r="F3" s="2" t="s">
        <v>27</v>
      </c>
    </row>
    <row r="4" spans="1:6" x14ac:dyDescent="0.45">
      <c r="A4" t="s">
        <v>5</v>
      </c>
      <c r="B4" t="s">
        <v>12</v>
      </c>
      <c r="C4" t="s">
        <v>32</v>
      </c>
      <c r="D4" t="s">
        <v>7</v>
      </c>
      <c r="E4" s="1">
        <v>43831</v>
      </c>
      <c r="F4" s="3">
        <v>719.91</v>
      </c>
    </row>
    <row r="5" spans="1:6" x14ac:dyDescent="0.45">
      <c r="A5" t="s">
        <v>20</v>
      </c>
      <c r="B5" t="s">
        <v>14</v>
      </c>
      <c r="C5" t="s">
        <v>32</v>
      </c>
      <c r="D5" t="s">
        <v>10</v>
      </c>
      <c r="E5" s="1">
        <v>43831</v>
      </c>
      <c r="F5" s="3">
        <v>675.8</v>
      </c>
    </row>
    <row r="6" spans="1:6" x14ac:dyDescent="0.45">
      <c r="A6" t="s">
        <v>8</v>
      </c>
      <c r="B6" t="s">
        <v>12</v>
      </c>
      <c r="C6" t="s">
        <v>31</v>
      </c>
      <c r="D6" t="s">
        <v>10</v>
      </c>
      <c r="E6" s="1">
        <v>43831</v>
      </c>
      <c r="F6" s="3">
        <v>879.89</v>
      </c>
    </row>
    <row r="7" spans="1:6" x14ac:dyDescent="0.45">
      <c r="A7" t="s">
        <v>16</v>
      </c>
      <c r="B7" t="s">
        <v>14</v>
      </c>
      <c r="C7" t="s">
        <v>29</v>
      </c>
      <c r="D7" t="s">
        <v>10</v>
      </c>
      <c r="E7" s="1">
        <v>43831</v>
      </c>
      <c r="F7" s="3">
        <v>2534.25</v>
      </c>
    </row>
    <row r="8" spans="1:6" x14ac:dyDescent="0.45">
      <c r="A8" t="s">
        <v>22</v>
      </c>
      <c r="B8" t="s">
        <v>6</v>
      </c>
      <c r="C8" t="s">
        <v>29</v>
      </c>
      <c r="D8" t="s">
        <v>24</v>
      </c>
      <c r="E8" s="1">
        <v>43831</v>
      </c>
      <c r="F8" s="3">
        <v>2727.6</v>
      </c>
    </row>
    <row r="9" spans="1:6" x14ac:dyDescent="0.45">
      <c r="A9" t="s">
        <v>8</v>
      </c>
      <c r="B9" t="s">
        <v>9</v>
      </c>
      <c r="C9" t="s">
        <v>31</v>
      </c>
      <c r="D9" t="s">
        <v>7</v>
      </c>
      <c r="E9" s="1">
        <v>43832</v>
      </c>
      <c r="F9" s="3">
        <v>4091.3999999999996</v>
      </c>
    </row>
    <row r="10" spans="1:6" x14ac:dyDescent="0.45">
      <c r="A10" t="s">
        <v>25</v>
      </c>
      <c r="B10" t="s">
        <v>6</v>
      </c>
      <c r="C10" t="s">
        <v>30</v>
      </c>
      <c r="D10" t="s">
        <v>21</v>
      </c>
      <c r="E10" s="1">
        <v>43832</v>
      </c>
      <c r="F10" s="3">
        <v>1363.8</v>
      </c>
    </row>
    <row r="11" spans="1:6" x14ac:dyDescent="0.45">
      <c r="A11" t="s">
        <v>5</v>
      </c>
      <c r="B11" t="s">
        <v>6</v>
      </c>
      <c r="C11" t="s">
        <v>32</v>
      </c>
      <c r="D11" t="s">
        <v>7</v>
      </c>
      <c r="E11" s="1">
        <v>43836</v>
      </c>
      <c r="F11" s="3">
        <v>3068.5499999999997</v>
      </c>
    </row>
    <row r="12" spans="1:6" x14ac:dyDescent="0.45">
      <c r="A12" t="s">
        <v>8</v>
      </c>
      <c r="B12" t="s">
        <v>9</v>
      </c>
      <c r="C12" t="s">
        <v>31</v>
      </c>
      <c r="D12" t="s">
        <v>10</v>
      </c>
      <c r="E12" s="1">
        <v>43836</v>
      </c>
      <c r="F12" s="3">
        <v>681.9</v>
      </c>
    </row>
    <row r="13" spans="1:6" x14ac:dyDescent="0.45">
      <c r="A13" t="s">
        <v>11</v>
      </c>
      <c r="B13" t="s">
        <v>12</v>
      </c>
      <c r="C13" t="s">
        <v>30</v>
      </c>
      <c r="D13" t="s">
        <v>13</v>
      </c>
      <c r="E13" s="1">
        <v>43837</v>
      </c>
      <c r="F13" s="3">
        <v>559.92999999999995</v>
      </c>
    </row>
    <row r="14" spans="1:6" x14ac:dyDescent="0.45">
      <c r="A14" t="s">
        <v>18</v>
      </c>
      <c r="B14" t="s">
        <v>9</v>
      </c>
      <c r="C14" t="s">
        <v>32</v>
      </c>
      <c r="D14" t="s">
        <v>13</v>
      </c>
      <c r="E14" s="1">
        <v>43837</v>
      </c>
      <c r="F14" s="3">
        <v>681.9</v>
      </c>
    </row>
    <row r="15" spans="1:6" x14ac:dyDescent="0.45">
      <c r="A15" t="s">
        <v>8</v>
      </c>
      <c r="B15" t="s">
        <v>14</v>
      </c>
      <c r="C15" t="s">
        <v>31</v>
      </c>
      <c r="D15" t="s">
        <v>21</v>
      </c>
      <c r="E15" s="1">
        <v>43837</v>
      </c>
      <c r="F15" s="3">
        <v>2534.25</v>
      </c>
    </row>
    <row r="16" spans="1:6" x14ac:dyDescent="0.45">
      <c r="A16" t="s">
        <v>8</v>
      </c>
      <c r="B16" t="s">
        <v>12</v>
      </c>
      <c r="C16" t="s">
        <v>31</v>
      </c>
      <c r="D16" t="s">
        <v>24</v>
      </c>
      <c r="E16" s="1">
        <v>43837</v>
      </c>
      <c r="F16" s="3">
        <v>79.989999999999995</v>
      </c>
    </row>
    <row r="17" spans="1:6" x14ac:dyDescent="0.45">
      <c r="A17" t="s">
        <v>8</v>
      </c>
      <c r="B17" t="s">
        <v>14</v>
      </c>
      <c r="C17" t="s">
        <v>31</v>
      </c>
      <c r="D17" t="s">
        <v>13</v>
      </c>
      <c r="E17" s="1">
        <v>43838</v>
      </c>
      <c r="F17" s="3">
        <v>506.84999999999997</v>
      </c>
    </row>
    <row r="18" spans="1:6" x14ac:dyDescent="0.45">
      <c r="A18" t="s">
        <v>15</v>
      </c>
      <c r="B18" t="s">
        <v>12</v>
      </c>
      <c r="C18" t="s">
        <v>31</v>
      </c>
      <c r="D18" t="s">
        <v>7</v>
      </c>
      <c r="E18" s="1">
        <v>43838</v>
      </c>
      <c r="F18" s="3">
        <v>959.87999999999988</v>
      </c>
    </row>
    <row r="19" spans="1:6" x14ac:dyDescent="0.45">
      <c r="A19" t="s">
        <v>16</v>
      </c>
      <c r="B19" t="s">
        <v>17</v>
      </c>
      <c r="C19" t="s">
        <v>29</v>
      </c>
      <c r="D19" t="s">
        <v>7</v>
      </c>
      <c r="E19" s="1">
        <v>43838</v>
      </c>
      <c r="F19" s="3">
        <v>14399.1</v>
      </c>
    </row>
    <row r="20" spans="1:6" x14ac:dyDescent="0.45">
      <c r="A20" t="s">
        <v>5</v>
      </c>
      <c r="B20" t="s">
        <v>14</v>
      </c>
      <c r="C20" t="s">
        <v>32</v>
      </c>
      <c r="D20" t="s">
        <v>7</v>
      </c>
      <c r="E20" s="1">
        <v>43838</v>
      </c>
      <c r="F20" s="3">
        <v>3379</v>
      </c>
    </row>
    <row r="21" spans="1:6" x14ac:dyDescent="0.45">
      <c r="A21" t="s">
        <v>18</v>
      </c>
      <c r="B21" t="s">
        <v>14</v>
      </c>
      <c r="C21" t="s">
        <v>32</v>
      </c>
      <c r="D21" t="s">
        <v>10</v>
      </c>
      <c r="E21" s="1">
        <v>43838</v>
      </c>
      <c r="F21" s="3">
        <v>675.8</v>
      </c>
    </row>
    <row r="22" spans="1:6" x14ac:dyDescent="0.45">
      <c r="A22" t="s">
        <v>22</v>
      </c>
      <c r="B22" t="s">
        <v>9</v>
      </c>
      <c r="C22" t="s">
        <v>29</v>
      </c>
      <c r="D22" t="s">
        <v>13</v>
      </c>
      <c r="E22" s="1">
        <v>43839</v>
      </c>
      <c r="F22" s="3">
        <v>3750.45</v>
      </c>
    </row>
    <row r="23" spans="1:6" x14ac:dyDescent="0.45">
      <c r="A23" t="s">
        <v>20</v>
      </c>
      <c r="B23" t="s">
        <v>9</v>
      </c>
      <c r="C23" t="s">
        <v>32</v>
      </c>
      <c r="D23" t="s">
        <v>13</v>
      </c>
      <c r="E23" s="1">
        <v>43839</v>
      </c>
      <c r="F23" s="3">
        <v>340.95</v>
      </c>
    </row>
    <row r="24" spans="1:6" x14ac:dyDescent="0.45">
      <c r="A24" t="s">
        <v>25</v>
      </c>
      <c r="B24" t="s">
        <v>6</v>
      </c>
      <c r="C24" t="s">
        <v>30</v>
      </c>
      <c r="D24" t="s">
        <v>21</v>
      </c>
      <c r="E24" s="1">
        <v>43839</v>
      </c>
      <c r="F24" s="3">
        <v>2386.65</v>
      </c>
    </row>
    <row r="25" spans="1:6" x14ac:dyDescent="0.45">
      <c r="A25" t="s">
        <v>16</v>
      </c>
      <c r="B25" t="s">
        <v>17</v>
      </c>
      <c r="C25" t="s">
        <v>29</v>
      </c>
      <c r="D25" t="s">
        <v>13</v>
      </c>
      <c r="E25" s="1">
        <v>43840</v>
      </c>
      <c r="F25" s="3">
        <v>10399.35</v>
      </c>
    </row>
    <row r="26" spans="1:6" x14ac:dyDescent="0.45">
      <c r="A26" t="s">
        <v>15</v>
      </c>
      <c r="B26" t="s">
        <v>17</v>
      </c>
      <c r="C26" t="s">
        <v>31</v>
      </c>
      <c r="D26" t="s">
        <v>13</v>
      </c>
      <c r="E26" s="1">
        <v>43840</v>
      </c>
      <c r="F26" s="3">
        <v>5599.6500000000005</v>
      </c>
    </row>
    <row r="27" spans="1:6" x14ac:dyDescent="0.45">
      <c r="A27" t="s">
        <v>11</v>
      </c>
      <c r="B27" t="s">
        <v>17</v>
      </c>
      <c r="C27" t="s">
        <v>30</v>
      </c>
      <c r="D27" t="s">
        <v>13</v>
      </c>
      <c r="E27" s="1">
        <v>43840</v>
      </c>
      <c r="F27" s="3">
        <v>6399.6</v>
      </c>
    </row>
    <row r="28" spans="1:6" x14ac:dyDescent="0.45">
      <c r="A28" t="s">
        <v>23</v>
      </c>
      <c r="B28" t="s">
        <v>12</v>
      </c>
      <c r="C28" t="s">
        <v>29</v>
      </c>
      <c r="D28" t="s">
        <v>7</v>
      </c>
      <c r="E28" s="1">
        <v>43840</v>
      </c>
      <c r="F28" s="3">
        <v>1279.8399999999999</v>
      </c>
    </row>
    <row r="29" spans="1:6" x14ac:dyDescent="0.45">
      <c r="A29" t="s">
        <v>18</v>
      </c>
      <c r="B29" t="s">
        <v>14</v>
      </c>
      <c r="C29" t="s">
        <v>32</v>
      </c>
      <c r="D29" t="s">
        <v>7</v>
      </c>
      <c r="E29" s="1">
        <v>43840</v>
      </c>
      <c r="F29" s="3">
        <v>2703.2</v>
      </c>
    </row>
    <row r="30" spans="1:6" x14ac:dyDescent="0.45">
      <c r="A30" t="s">
        <v>15</v>
      </c>
      <c r="B30" t="s">
        <v>14</v>
      </c>
      <c r="C30" t="s">
        <v>31</v>
      </c>
      <c r="D30" t="s">
        <v>21</v>
      </c>
      <c r="E30" s="1">
        <v>43840</v>
      </c>
      <c r="F30" s="3">
        <v>1013.6999999999999</v>
      </c>
    </row>
    <row r="31" spans="1:6" x14ac:dyDescent="0.45">
      <c r="A31" t="s">
        <v>25</v>
      </c>
      <c r="B31" t="s">
        <v>17</v>
      </c>
      <c r="C31" t="s">
        <v>32</v>
      </c>
      <c r="D31" t="s">
        <v>24</v>
      </c>
      <c r="E31" s="1">
        <v>43840</v>
      </c>
      <c r="F31" s="3">
        <v>11999.25</v>
      </c>
    </row>
    <row r="32" spans="1:6" x14ac:dyDescent="0.45">
      <c r="A32" t="s">
        <v>25</v>
      </c>
      <c r="B32" t="s">
        <v>9</v>
      </c>
      <c r="C32" t="s">
        <v>32</v>
      </c>
      <c r="D32" t="s">
        <v>24</v>
      </c>
      <c r="E32" s="1">
        <v>43840</v>
      </c>
      <c r="F32" s="3">
        <v>3750.45</v>
      </c>
    </row>
    <row r="33" spans="1:6" x14ac:dyDescent="0.45">
      <c r="A33" t="s">
        <v>18</v>
      </c>
      <c r="B33" t="s">
        <v>12</v>
      </c>
      <c r="C33" t="s">
        <v>32</v>
      </c>
      <c r="D33" t="s">
        <v>10</v>
      </c>
      <c r="E33" s="1">
        <v>43841</v>
      </c>
      <c r="F33" s="3">
        <v>799.9</v>
      </c>
    </row>
    <row r="34" spans="1:6" x14ac:dyDescent="0.45">
      <c r="A34" t="s">
        <v>8</v>
      </c>
      <c r="B34" t="s">
        <v>17</v>
      </c>
      <c r="C34" t="s">
        <v>31</v>
      </c>
      <c r="D34" t="s">
        <v>10</v>
      </c>
      <c r="E34" s="1">
        <v>43841</v>
      </c>
      <c r="F34" s="3">
        <v>1599.9</v>
      </c>
    </row>
    <row r="35" spans="1:6" x14ac:dyDescent="0.45">
      <c r="A35" t="s">
        <v>8</v>
      </c>
      <c r="B35" t="s">
        <v>9</v>
      </c>
      <c r="C35" t="s">
        <v>31</v>
      </c>
      <c r="D35" t="s">
        <v>10</v>
      </c>
      <c r="E35" s="1">
        <v>43841</v>
      </c>
      <c r="F35" s="3">
        <v>2045.6999999999998</v>
      </c>
    </row>
    <row r="36" spans="1:6" x14ac:dyDescent="0.45">
      <c r="A36" t="s">
        <v>8</v>
      </c>
      <c r="B36" t="s">
        <v>14</v>
      </c>
      <c r="C36" t="s">
        <v>31</v>
      </c>
      <c r="D36" t="s">
        <v>7</v>
      </c>
      <c r="E36" s="1">
        <v>43841</v>
      </c>
      <c r="F36" s="3">
        <v>1013.6999999999999</v>
      </c>
    </row>
    <row r="37" spans="1:6" x14ac:dyDescent="0.45">
      <c r="A37" t="s">
        <v>11</v>
      </c>
      <c r="B37" t="s">
        <v>14</v>
      </c>
      <c r="C37" t="s">
        <v>30</v>
      </c>
      <c r="D37" t="s">
        <v>24</v>
      </c>
      <c r="E37" s="1">
        <v>43841</v>
      </c>
      <c r="F37" s="3">
        <v>1858.4499999999998</v>
      </c>
    </row>
    <row r="38" spans="1:6" x14ac:dyDescent="0.45">
      <c r="A38" t="s">
        <v>22</v>
      </c>
      <c r="B38" t="s">
        <v>17</v>
      </c>
      <c r="C38" t="s">
        <v>29</v>
      </c>
      <c r="D38" t="s">
        <v>24</v>
      </c>
      <c r="E38" s="1">
        <v>43841</v>
      </c>
      <c r="F38" s="3">
        <v>5599.6500000000005</v>
      </c>
    </row>
    <row r="39" spans="1:6" x14ac:dyDescent="0.45">
      <c r="A39" t="s">
        <v>20</v>
      </c>
      <c r="B39" t="s">
        <v>14</v>
      </c>
      <c r="C39" t="s">
        <v>32</v>
      </c>
      <c r="D39" t="s">
        <v>24</v>
      </c>
      <c r="E39" s="1">
        <v>43843</v>
      </c>
      <c r="F39" s="3">
        <v>168.95</v>
      </c>
    </row>
    <row r="40" spans="1:6" x14ac:dyDescent="0.45">
      <c r="A40" t="s">
        <v>8</v>
      </c>
      <c r="B40" t="s">
        <v>9</v>
      </c>
      <c r="C40" t="s">
        <v>31</v>
      </c>
      <c r="D40" t="s">
        <v>7</v>
      </c>
      <c r="E40" s="1">
        <v>43844</v>
      </c>
      <c r="F40" s="3">
        <v>4432.3499999999995</v>
      </c>
    </row>
    <row r="41" spans="1:6" x14ac:dyDescent="0.45">
      <c r="A41" t="s">
        <v>15</v>
      </c>
      <c r="B41" t="s">
        <v>14</v>
      </c>
      <c r="C41" t="s">
        <v>31</v>
      </c>
      <c r="D41" t="s">
        <v>10</v>
      </c>
      <c r="E41" s="1">
        <v>43844</v>
      </c>
      <c r="F41" s="3">
        <v>1689.5</v>
      </c>
    </row>
    <row r="42" spans="1:6" x14ac:dyDescent="0.45">
      <c r="A42" t="s">
        <v>5</v>
      </c>
      <c r="B42" t="s">
        <v>9</v>
      </c>
      <c r="C42" t="s">
        <v>32</v>
      </c>
      <c r="D42" t="s">
        <v>10</v>
      </c>
      <c r="E42" s="1">
        <v>43844</v>
      </c>
      <c r="F42" s="3">
        <v>1363.8</v>
      </c>
    </row>
    <row r="43" spans="1:6" x14ac:dyDescent="0.45">
      <c r="A43" t="s">
        <v>15</v>
      </c>
      <c r="B43" t="s">
        <v>14</v>
      </c>
      <c r="C43" t="s">
        <v>31</v>
      </c>
      <c r="D43" t="s">
        <v>13</v>
      </c>
      <c r="E43" s="1">
        <v>43844</v>
      </c>
      <c r="F43" s="3">
        <v>2534.25</v>
      </c>
    </row>
    <row r="44" spans="1:6" x14ac:dyDescent="0.45">
      <c r="A44" t="s">
        <v>11</v>
      </c>
      <c r="B44" t="s">
        <v>12</v>
      </c>
      <c r="C44" t="s">
        <v>30</v>
      </c>
      <c r="D44" t="s">
        <v>13</v>
      </c>
      <c r="E44" s="1">
        <v>43844</v>
      </c>
      <c r="F44" s="3">
        <v>959.87999999999988</v>
      </c>
    </row>
    <row r="45" spans="1:6" x14ac:dyDescent="0.45">
      <c r="A45" t="s">
        <v>15</v>
      </c>
      <c r="B45" t="s">
        <v>14</v>
      </c>
      <c r="C45" t="s">
        <v>31</v>
      </c>
      <c r="D45" t="s">
        <v>7</v>
      </c>
      <c r="E45" s="1">
        <v>43844</v>
      </c>
      <c r="F45" s="3">
        <v>2196.35</v>
      </c>
    </row>
    <row r="46" spans="1:6" x14ac:dyDescent="0.45">
      <c r="A46" t="s">
        <v>23</v>
      </c>
      <c r="B46" t="s">
        <v>9</v>
      </c>
      <c r="C46" t="s">
        <v>29</v>
      </c>
      <c r="D46" t="s">
        <v>24</v>
      </c>
      <c r="E46" s="1">
        <v>43844</v>
      </c>
      <c r="F46" s="3">
        <v>340.95</v>
      </c>
    </row>
    <row r="47" spans="1:6" x14ac:dyDescent="0.45">
      <c r="A47" t="s">
        <v>26</v>
      </c>
      <c r="B47" t="s">
        <v>9</v>
      </c>
      <c r="C47" t="s">
        <v>30</v>
      </c>
      <c r="D47" t="s">
        <v>24</v>
      </c>
      <c r="E47" s="1">
        <v>43844</v>
      </c>
      <c r="F47" s="3">
        <v>5114.25</v>
      </c>
    </row>
    <row r="48" spans="1:6" x14ac:dyDescent="0.45">
      <c r="A48" t="s">
        <v>15</v>
      </c>
      <c r="B48" t="s">
        <v>14</v>
      </c>
      <c r="C48" t="s">
        <v>31</v>
      </c>
      <c r="D48" t="s">
        <v>7</v>
      </c>
      <c r="E48" s="1">
        <v>43845</v>
      </c>
      <c r="F48" s="3">
        <v>1858.4499999999998</v>
      </c>
    </row>
    <row r="49" spans="1:6" x14ac:dyDescent="0.45">
      <c r="A49" t="s">
        <v>11</v>
      </c>
      <c r="B49" t="s">
        <v>6</v>
      </c>
      <c r="C49" t="s">
        <v>30</v>
      </c>
      <c r="D49" t="s">
        <v>7</v>
      </c>
      <c r="E49" s="1">
        <v>43845</v>
      </c>
      <c r="F49" s="3">
        <v>2386.65</v>
      </c>
    </row>
    <row r="50" spans="1:6" x14ac:dyDescent="0.45">
      <c r="A50" t="s">
        <v>15</v>
      </c>
      <c r="B50" t="s">
        <v>12</v>
      </c>
      <c r="C50" t="s">
        <v>31</v>
      </c>
      <c r="D50" t="s">
        <v>13</v>
      </c>
      <c r="E50" s="1">
        <v>43846</v>
      </c>
      <c r="F50" s="3">
        <v>879.89</v>
      </c>
    </row>
    <row r="51" spans="1:6" x14ac:dyDescent="0.45">
      <c r="A51" t="s">
        <v>18</v>
      </c>
      <c r="B51" t="s">
        <v>17</v>
      </c>
      <c r="C51" t="s">
        <v>32</v>
      </c>
      <c r="D51" t="s">
        <v>7</v>
      </c>
      <c r="E51" s="1">
        <v>43846</v>
      </c>
      <c r="F51" s="3">
        <v>4799.7000000000007</v>
      </c>
    </row>
    <row r="52" spans="1:6" x14ac:dyDescent="0.45">
      <c r="A52" t="s">
        <v>11</v>
      </c>
      <c r="B52" t="s">
        <v>17</v>
      </c>
      <c r="C52" t="s">
        <v>30</v>
      </c>
      <c r="D52" t="s">
        <v>7</v>
      </c>
      <c r="E52" s="1">
        <v>43846</v>
      </c>
      <c r="F52" s="3">
        <v>4799.7000000000007</v>
      </c>
    </row>
    <row r="53" spans="1:6" x14ac:dyDescent="0.45">
      <c r="A53" t="s">
        <v>8</v>
      </c>
      <c r="B53" t="s">
        <v>6</v>
      </c>
      <c r="C53" t="s">
        <v>31</v>
      </c>
      <c r="D53" t="s">
        <v>24</v>
      </c>
      <c r="E53" s="1">
        <v>43846</v>
      </c>
      <c r="F53" s="3">
        <v>4432.3499999999995</v>
      </c>
    </row>
    <row r="54" spans="1:6" x14ac:dyDescent="0.45">
      <c r="A54" t="s">
        <v>19</v>
      </c>
      <c r="B54" t="s">
        <v>6</v>
      </c>
      <c r="C54" t="s">
        <v>29</v>
      </c>
      <c r="D54" t="s">
        <v>7</v>
      </c>
      <c r="E54" s="1">
        <v>43847</v>
      </c>
      <c r="F54" s="3">
        <v>4773.3</v>
      </c>
    </row>
    <row r="55" spans="1:6" x14ac:dyDescent="0.45">
      <c r="A55" t="s">
        <v>16</v>
      </c>
      <c r="B55" t="s">
        <v>14</v>
      </c>
      <c r="C55" t="s">
        <v>29</v>
      </c>
      <c r="D55" t="s">
        <v>10</v>
      </c>
      <c r="E55" s="1">
        <v>43847</v>
      </c>
      <c r="F55" s="3">
        <v>1689.5</v>
      </c>
    </row>
    <row r="56" spans="1:6" x14ac:dyDescent="0.45">
      <c r="A56" t="s">
        <v>25</v>
      </c>
      <c r="B56" t="s">
        <v>14</v>
      </c>
      <c r="C56" t="s">
        <v>32</v>
      </c>
      <c r="D56" t="s">
        <v>13</v>
      </c>
      <c r="E56" s="1">
        <v>43847</v>
      </c>
      <c r="F56" s="3">
        <v>2534.25</v>
      </c>
    </row>
    <row r="57" spans="1:6" x14ac:dyDescent="0.45">
      <c r="A57" t="s">
        <v>5</v>
      </c>
      <c r="B57" t="s">
        <v>6</v>
      </c>
      <c r="C57" t="s">
        <v>32</v>
      </c>
      <c r="D57" t="s">
        <v>10</v>
      </c>
      <c r="E57" s="1">
        <v>43847</v>
      </c>
      <c r="F57" s="3">
        <v>4091.3999999999996</v>
      </c>
    </row>
    <row r="58" spans="1:6" x14ac:dyDescent="0.45">
      <c r="A58" t="s">
        <v>20</v>
      </c>
      <c r="B58" t="s">
        <v>6</v>
      </c>
      <c r="C58" t="s">
        <v>32</v>
      </c>
      <c r="D58" t="s">
        <v>24</v>
      </c>
      <c r="E58" s="1">
        <v>43847</v>
      </c>
      <c r="F58" s="3">
        <v>681.9</v>
      </c>
    </row>
    <row r="59" spans="1:6" x14ac:dyDescent="0.45">
      <c r="A59" t="s">
        <v>20</v>
      </c>
      <c r="B59" t="s">
        <v>12</v>
      </c>
      <c r="C59" t="s">
        <v>32</v>
      </c>
      <c r="D59" t="s">
        <v>13</v>
      </c>
      <c r="E59" s="1">
        <v>43848</v>
      </c>
      <c r="F59" s="3">
        <v>159.97999999999999</v>
      </c>
    </row>
    <row r="60" spans="1:6" x14ac:dyDescent="0.45">
      <c r="A60" t="s">
        <v>19</v>
      </c>
      <c r="B60" t="s">
        <v>12</v>
      </c>
      <c r="C60" t="s">
        <v>29</v>
      </c>
      <c r="D60" t="s">
        <v>7</v>
      </c>
      <c r="E60" s="1">
        <v>43848</v>
      </c>
      <c r="F60" s="3">
        <v>639.91999999999996</v>
      </c>
    </row>
    <row r="61" spans="1:6" x14ac:dyDescent="0.45">
      <c r="A61" t="s">
        <v>8</v>
      </c>
      <c r="B61" t="s">
        <v>9</v>
      </c>
      <c r="C61" t="s">
        <v>31</v>
      </c>
      <c r="D61" t="s">
        <v>21</v>
      </c>
      <c r="E61" s="1">
        <v>43848</v>
      </c>
      <c r="F61" s="3">
        <v>3409.5</v>
      </c>
    </row>
    <row r="62" spans="1:6" x14ac:dyDescent="0.45">
      <c r="A62" t="s">
        <v>5</v>
      </c>
      <c r="B62" t="s">
        <v>17</v>
      </c>
      <c r="C62" t="s">
        <v>32</v>
      </c>
      <c r="D62" t="s">
        <v>13</v>
      </c>
      <c r="E62" s="1">
        <v>43851</v>
      </c>
      <c r="F62" s="3">
        <v>2399.8500000000004</v>
      </c>
    </row>
    <row r="63" spans="1:6" x14ac:dyDescent="0.45">
      <c r="A63" t="s">
        <v>18</v>
      </c>
      <c r="B63" t="s">
        <v>12</v>
      </c>
      <c r="C63" t="s">
        <v>32</v>
      </c>
      <c r="D63" t="s">
        <v>10</v>
      </c>
      <c r="E63" s="1">
        <v>43851</v>
      </c>
      <c r="F63" s="3">
        <v>1119.8599999999999</v>
      </c>
    </row>
    <row r="64" spans="1:6" x14ac:dyDescent="0.45">
      <c r="A64" t="s">
        <v>5</v>
      </c>
      <c r="B64" t="s">
        <v>6</v>
      </c>
      <c r="C64" t="s">
        <v>32</v>
      </c>
      <c r="D64" t="s">
        <v>24</v>
      </c>
      <c r="E64" s="1">
        <v>43851</v>
      </c>
      <c r="F64" s="3">
        <v>2727.6</v>
      </c>
    </row>
    <row r="65" spans="1:6" x14ac:dyDescent="0.45">
      <c r="A65" t="s">
        <v>5</v>
      </c>
      <c r="B65" t="s">
        <v>9</v>
      </c>
      <c r="C65" t="s">
        <v>32</v>
      </c>
      <c r="D65" t="s">
        <v>13</v>
      </c>
      <c r="E65" s="1">
        <v>43852</v>
      </c>
      <c r="F65" s="3">
        <v>1363.8</v>
      </c>
    </row>
    <row r="66" spans="1:6" x14ac:dyDescent="0.45">
      <c r="A66" t="s">
        <v>26</v>
      </c>
      <c r="B66" t="s">
        <v>17</v>
      </c>
      <c r="C66" t="s">
        <v>30</v>
      </c>
      <c r="D66" t="s">
        <v>10</v>
      </c>
      <c r="E66" s="1">
        <v>43852</v>
      </c>
      <c r="F66" s="3">
        <v>7999.5</v>
      </c>
    </row>
    <row r="67" spans="1:6" x14ac:dyDescent="0.45">
      <c r="A67" t="s">
        <v>19</v>
      </c>
      <c r="B67" t="s">
        <v>12</v>
      </c>
      <c r="C67" t="s">
        <v>29</v>
      </c>
      <c r="D67" t="s">
        <v>7</v>
      </c>
      <c r="E67" s="1">
        <v>43853</v>
      </c>
      <c r="F67" s="3">
        <v>1599.8</v>
      </c>
    </row>
    <row r="68" spans="1:6" x14ac:dyDescent="0.45">
      <c r="A68" t="s">
        <v>16</v>
      </c>
      <c r="B68" t="s">
        <v>9</v>
      </c>
      <c r="C68" t="s">
        <v>29</v>
      </c>
      <c r="D68" t="s">
        <v>10</v>
      </c>
      <c r="E68" s="1">
        <v>43854</v>
      </c>
      <c r="F68" s="3">
        <v>2727.6</v>
      </c>
    </row>
    <row r="69" spans="1:6" x14ac:dyDescent="0.45">
      <c r="A69" t="s">
        <v>19</v>
      </c>
      <c r="B69" t="s">
        <v>17</v>
      </c>
      <c r="C69" t="s">
        <v>29</v>
      </c>
      <c r="D69" t="s">
        <v>7</v>
      </c>
      <c r="E69" s="1">
        <v>43854</v>
      </c>
      <c r="F69" s="3">
        <v>11999.25</v>
      </c>
    </row>
    <row r="70" spans="1:6" x14ac:dyDescent="0.45">
      <c r="A70" t="s">
        <v>11</v>
      </c>
      <c r="B70" t="s">
        <v>9</v>
      </c>
      <c r="C70" t="s">
        <v>30</v>
      </c>
      <c r="D70" t="s">
        <v>21</v>
      </c>
      <c r="E70" s="1">
        <v>43854</v>
      </c>
      <c r="F70" s="3">
        <v>3750.45</v>
      </c>
    </row>
    <row r="71" spans="1:6" x14ac:dyDescent="0.45">
      <c r="A71" t="s">
        <v>26</v>
      </c>
      <c r="B71" t="s">
        <v>12</v>
      </c>
      <c r="C71" t="s">
        <v>30</v>
      </c>
      <c r="D71" t="s">
        <v>24</v>
      </c>
      <c r="E71" s="1">
        <v>43855</v>
      </c>
      <c r="F71" s="3">
        <v>799.9</v>
      </c>
    </row>
    <row r="72" spans="1:6" x14ac:dyDescent="0.45">
      <c r="A72" t="s">
        <v>20</v>
      </c>
      <c r="B72" t="s">
        <v>12</v>
      </c>
      <c r="C72" t="s">
        <v>32</v>
      </c>
      <c r="D72" t="s">
        <v>10</v>
      </c>
      <c r="E72" s="1">
        <v>43856</v>
      </c>
      <c r="F72" s="3">
        <v>879.89</v>
      </c>
    </row>
    <row r="73" spans="1:6" x14ac:dyDescent="0.45">
      <c r="A73" t="s">
        <v>11</v>
      </c>
      <c r="B73" t="s">
        <v>14</v>
      </c>
      <c r="C73" t="s">
        <v>30</v>
      </c>
      <c r="D73" t="s">
        <v>21</v>
      </c>
      <c r="E73" s="1">
        <v>43857</v>
      </c>
      <c r="F73" s="3">
        <v>1858.4499999999998</v>
      </c>
    </row>
    <row r="74" spans="1:6" x14ac:dyDescent="0.45">
      <c r="A74" t="s">
        <v>11</v>
      </c>
      <c r="B74" t="s">
        <v>6</v>
      </c>
      <c r="C74" t="s">
        <v>30</v>
      </c>
      <c r="D74" t="s">
        <v>13</v>
      </c>
      <c r="E74" s="1">
        <v>43858</v>
      </c>
      <c r="F74" s="3">
        <v>4432.3499999999995</v>
      </c>
    </row>
    <row r="75" spans="1:6" x14ac:dyDescent="0.45">
      <c r="A75" t="s">
        <v>11</v>
      </c>
      <c r="B75" t="s">
        <v>9</v>
      </c>
      <c r="C75" t="s">
        <v>30</v>
      </c>
      <c r="D75" t="s">
        <v>7</v>
      </c>
      <c r="E75" s="1">
        <v>43858</v>
      </c>
      <c r="F75" s="3">
        <v>2386.65</v>
      </c>
    </row>
    <row r="76" spans="1:6" x14ac:dyDescent="0.45">
      <c r="A76" t="s">
        <v>25</v>
      </c>
      <c r="B76" t="s">
        <v>17</v>
      </c>
      <c r="C76" t="s">
        <v>32</v>
      </c>
      <c r="D76" t="s">
        <v>13</v>
      </c>
      <c r="E76" s="1">
        <v>43858</v>
      </c>
      <c r="F76" s="3">
        <v>1599.9</v>
      </c>
    </row>
    <row r="77" spans="1:6" x14ac:dyDescent="0.45">
      <c r="A77" t="s">
        <v>15</v>
      </c>
      <c r="B77" t="s">
        <v>6</v>
      </c>
      <c r="C77" t="s">
        <v>31</v>
      </c>
      <c r="D77" t="s">
        <v>21</v>
      </c>
      <c r="E77" s="1">
        <v>43858</v>
      </c>
      <c r="F77" s="3">
        <v>5114.25</v>
      </c>
    </row>
    <row r="78" spans="1:6" x14ac:dyDescent="0.45">
      <c r="A78" t="s">
        <v>23</v>
      </c>
      <c r="B78" t="s">
        <v>17</v>
      </c>
      <c r="C78" t="s">
        <v>29</v>
      </c>
      <c r="D78" t="s">
        <v>10</v>
      </c>
      <c r="E78" s="1">
        <v>43858</v>
      </c>
      <c r="F78" s="3">
        <v>8799.4500000000007</v>
      </c>
    </row>
    <row r="79" spans="1:6" x14ac:dyDescent="0.45">
      <c r="A79" t="s">
        <v>20</v>
      </c>
      <c r="B79" t="s">
        <v>9</v>
      </c>
      <c r="C79" t="s">
        <v>32</v>
      </c>
      <c r="D79" t="s">
        <v>7</v>
      </c>
      <c r="E79" s="1">
        <v>43859</v>
      </c>
      <c r="F79" s="3">
        <v>2727.6</v>
      </c>
    </row>
    <row r="80" spans="1:6" x14ac:dyDescent="0.45">
      <c r="A80" t="s">
        <v>23</v>
      </c>
      <c r="B80" t="s">
        <v>9</v>
      </c>
      <c r="C80" t="s">
        <v>29</v>
      </c>
      <c r="D80" t="s">
        <v>7</v>
      </c>
      <c r="E80" s="1">
        <v>43859</v>
      </c>
      <c r="F80" s="3">
        <v>5796.15</v>
      </c>
    </row>
    <row r="81" spans="1:6" x14ac:dyDescent="0.45">
      <c r="A81" t="s">
        <v>5</v>
      </c>
      <c r="B81" t="s">
        <v>9</v>
      </c>
      <c r="C81" t="s">
        <v>32</v>
      </c>
      <c r="D81" t="s">
        <v>21</v>
      </c>
      <c r="E81" s="1">
        <v>43859</v>
      </c>
      <c r="F81" s="3">
        <v>2727.6</v>
      </c>
    </row>
    <row r="82" spans="1:6" x14ac:dyDescent="0.45">
      <c r="A82" t="s">
        <v>5</v>
      </c>
      <c r="B82" t="s">
        <v>17</v>
      </c>
      <c r="C82" t="s">
        <v>32</v>
      </c>
      <c r="D82" t="s">
        <v>13</v>
      </c>
      <c r="E82" s="1">
        <v>43860</v>
      </c>
      <c r="F82" s="3">
        <v>7999.5</v>
      </c>
    </row>
    <row r="83" spans="1:6" x14ac:dyDescent="0.45">
      <c r="A83" t="s">
        <v>5</v>
      </c>
      <c r="B83" t="s">
        <v>17</v>
      </c>
      <c r="C83" t="s">
        <v>32</v>
      </c>
      <c r="D83" t="s">
        <v>10</v>
      </c>
      <c r="E83" s="1">
        <v>43860</v>
      </c>
      <c r="F83" s="3">
        <v>5599.6500000000005</v>
      </c>
    </row>
    <row r="84" spans="1:6" x14ac:dyDescent="0.45">
      <c r="A84" t="s">
        <v>8</v>
      </c>
      <c r="B84" t="s">
        <v>14</v>
      </c>
      <c r="C84" t="s">
        <v>31</v>
      </c>
      <c r="D84" t="s">
        <v>13</v>
      </c>
      <c r="E84" s="1">
        <v>43860</v>
      </c>
      <c r="F84" s="3">
        <v>1520.55</v>
      </c>
    </row>
    <row r="85" spans="1:6" x14ac:dyDescent="0.45">
      <c r="A85" t="s">
        <v>26</v>
      </c>
      <c r="B85" t="s">
        <v>12</v>
      </c>
      <c r="C85" t="s">
        <v>30</v>
      </c>
      <c r="D85" t="s">
        <v>10</v>
      </c>
      <c r="E85" s="1">
        <v>43860</v>
      </c>
      <c r="F85" s="3">
        <v>159.97999999999999</v>
      </c>
    </row>
    <row r="86" spans="1:6" x14ac:dyDescent="0.45">
      <c r="A86" t="s">
        <v>19</v>
      </c>
      <c r="B86" t="s">
        <v>9</v>
      </c>
      <c r="C86" t="s">
        <v>29</v>
      </c>
      <c r="D86" t="s">
        <v>13</v>
      </c>
      <c r="E86" s="1">
        <v>43861</v>
      </c>
      <c r="F86" s="3">
        <v>1363.8</v>
      </c>
    </row>
    <row r="87" spans="1:6" x14ac:dyDescent="0.45">
      <c r="A87" t="s">
        <v>11</v>
      </c>
      <c r="B87" t="s">
        <v>6</v>
      </c>
      <c r="C87" t="s">
        <v>30</v>
      </c>
      <c r="D87" t="s">
        <v>10</v>
      </c>
      <c r="E87" s="1">
        <v>43861</v>
      </c>
      <c r="F87" s="3">
        <v>2727.6</v>
      </c>
    </row>
    <row r="88" spans="1:6" x14ac:dyDescent="0.45">
      <c r="A88" t="s">
        <v>16</v>
      </c>
      <c r="B88" t="s">
        <v>17</v>
      </c>
      <c r="C88" t="s">
        <v>29</v>
      </c>
      <c r="D88" t="s">
        <v>24</v>
      </c>
      <c r="E88" s="1">
        <v>43861</v>
      </c>
      <c r="F88" s="3">
        <v>11999.25</v>
      </c>
    </row>
    <row r="89" spans="1:6" x14ac:dyDescent="0.45">
      <c r="A89" t="s">
        <v>11</v>
      </c>
      <c r="B89" t="s">
        <v>17</v>
      </c>
      <c r="C89" t="s">
        <v>30</v>
      </c>
      <c r="D89" t="s">
        <v>21</v>
      </c>
      <c r="E89" s="1">
        <v>43862</v>
      </c>
      <c r="F89" s="3">
        <v>3999.75</v>
      </c>
    </row>
    <row r="90" spans="1:6" x14ac:dyDescent="0.45">
      <c r="A90" t="s">
        <v>16</v>
      </c>
      <c r="B90" t="s">
        <v>17</v>
      </c>
      <c r="C90" t="s">
        <v>29</v>
      </c>
      <c r="D90" t="s">
        <v>10</v>
      </c>
      <c r="E90" s="1">
        <v>43862</v>
      </c>
      <c r="F90" s="3">
        <v>5599.6500000000005</v>
      </c>
    </row>
    <row r="91" spans="1:6" x14ac:dyDescent="0.45">
      <c r="A91" t="s">
        <v>5</v>
      </c>
      <c r="B91" t="s">
        <v>6</v>
      </c>
      <c r="C91" t="s">
        <v>32</v>
      </c>
      <c r="D91" t="s">
        <v>10</v>
      </c>
      <c r="E91" s="1">
        <v>43862</v>
      </c>
      <c r="F91" s="3">
        <v>2045.6999999999998</v>
      </c>
    </row>
    <row r="92" spans="1:6" x14ac:dyDescent="0.45">
      <c r="A92" t="s">
        <v>18</v>
      </c>
      <c r="B92" t="s">
        <v>14</v>
      </c>
      <c r="C92" t="s">
        <v>32</v>
      </c>
      <c r="D92" t="s">
        <v>13</v>
      </c>
      <c r="E92" s="1">
        <v>43862</v>
      </c>
      <c r="F92" s="3">
        <v>675.8</v>
      </c>
    </row>
    <row r="93" spans="1:6" x14ac:dyDescent="0.45">
      <c r="A93" t="s">
        <v>8</v>
      </c>
      <c r="B93" t="s">
        <v>9</v>
      </c>
      <c r="C93" t="s">
        <v>31</v>
      </c>
      <c r="D93" t="s">
        <v>13</v>
      </c>
      <c r="E93" s="1">
        <v>43862</v>
      </c>
      <c r="F93" s="3">
        <v>5114.25</v>
      </c>
    </row>
    <row r="94" spans="1:6" x14ac:dyDescent="0.45">
      <c r="A94" t="s">
        <v>11</v>
      </c>
      <c r="B94" t="s">
        <v>12</v>
      </c>
      <c r="C94" t="s">
        <v>30</v>
      </c>
      <c r="D94" t="s">
        <v>10</v>
      </c>
      <c r="E94" s="1">
        <v>43863</v>
      </c>
      <c r="F94" s="3">
        <v>399.95</v>
      </c>
    </row>
    <row r="95" spans="1:6" x14ac:dyDescent="0.45">
      <c r="A95" t="s">
        <v>5</v>
      </c>
      <c r="B95" t="s">
        <v>14</v>
      </c>
      <c r="C95" t="s">
        <v>32</v>
      </c>
      <c r="D95" t="s">
        <v>7</v>
      </c>
      <c r="E95" s="1">
        <v>43864</v>
      </c>
      <c r="F95" s="3">
        <v>2196.35</v>
      </c>
    </row>
    <row r="96" spans="1:6" x14ac:dyDescent="0.45">
      <c r="A96" t="s">
        <v>22</v>
      </c>
      <c r="B96" t="s">
        <v>12</v>
      </c>
      <c r="C96" t="s">
        <v>29</v>
      </c>
      <c r="D96" t="s">
        <v>21</v>
      </c>
      <c r="E96" s="1">
        <v>43864</v>
      </c>
      <c r="F96" s="3">
        <v>639.91999999999996</v>
      </c>
    </row>
    <row r="97" spans="1:6" x14ac:dyDescent="0.45">
      <c r="A97" t="s">
        <v>26</v>
      </c>
      <c r="B97" t="s">
        <v>12</v>
      </c>
      <c r="C97" t="s">
        <v>30</v>
      </c>
      <c r="D97" t="s">
        <v>21</v>
      </c>
      <c r="E97" s="1">
        <v>43864</v>
      </c>
      <c r="F97" s="3">
        <v>79.989999999999995</v>
      </c>
    </row>
    <row r="98" spans="1:6" x14ac:dyDescent="0.45">
      <c r="A98" t="s">
        <v>16</v>
      </c>
      <c r="B98" t="s">
        <v>14</v>
      </c>
      <c r="C98" t="s">
        <v>29</v>
      </c>
      <c r="D98" t="s">
        <v>21</v>
      </c>
      <c r="E98" s="1">
        <v>43864</v>
      </c>
      <c r="F98" s="3">
        <v>2196.35</v>
      </c>
    </row>
    <row r="99" spans="1:6" x14ac:dyDescent="0.45">
      <c r="A99" t="s">
        <v>16</v>
      </c>
      <c r="B99" t="s">
        <v>6</v>
      </c>
      <c r="C99" t="s">
        <v>29</v>
      </c>
      <c r="D99" t="s">
        <v>7</v>
      </c>
      <c r="E99" s="1">
        <v>43865</v>
      </c>
      <c r="F99" s="3">
        <v>4432.3499999999995</v>
      </c>
    </row>
    <row r="100" spans="1:6" x14ac:dyDescent="0.45">
      <c r="A100" t="s">
        <v>8</v>
      </c>
      <c r="B100" t="s">
        <v>12</v>
      </c>
      <c r="C100" t="s">
        <v>31</v>
      </c>
      <c r="D100" t="s">
        <v>10</v>
      </c>
      <c r="E100" s="1">
        <v>43866</v>
      </c>
      <c r="F100" s="3">
        <v>799.9</v>
      </c>
    </row>
    <row r="101" spans="1:6" x14ac:dyDescent="0.45">
      <c r="A101" t="s">
        <v>11</v>
      </c>
      <c r="B101" t="s">
        <v>6</v>
      </c>
      <c r="C101" t="s">
        <v>30</v>
      </c>
      <c r="D101" t="s">
        <v>7</v>
      </c>
      <c r="E101" s="1">
        <v>43866</v>
      </c>
      <c r="F101" s="3">
        <v>4091.3999999999996</v>
      </c>
    </row>
    <row r="102" spans="1:6" x14ac:dyDescent="0.45">
      <c r="A102" t="s">
        <v>11</v>
      </c>
      <c r="B102" t="s">
        <v>6</v>
      </c>
      <c r="C102" t="s">
        <v>30</v>
      </c>
      <c r="D102" t="s">
        <v>24</v>
      </c>
      <c r="E102" s="1">
        <v>43866</v>
      </c>
      <c r="F102" s="3">
        <v>3068.5499999999997</v>
      </c>
    </row>
    <row r="103" spans="1:6" x14ac:dyDescent="0.45">
      <c r="A103" t="s">
        <v>5</v>
      </c>
      <c r="B103" t="s">
        <v>14</v>
      </c>
      <c r="C103" t="s">
        <v>32</v>
      </c>
      <c r="D103" t="s">
        <v>24</v>
      </c>
      <c r="E103" s="1">
        <v>43866</v>
      </c>
      <c r="F103" s="3">
        <v>1013.6999999999999</v>
      </c>
    </row>
    <row r="104" spans="1:6" x14ac:dyDescent="0.45">
      <c r="A104" t="s">
        <v>22</v>
      </c>
      <c r="B104" t="s">
        <v>6</v>
      </c>
      <c r="C104" t="s">
        <v>29</v>
      </c>
      <c r="D104" t="s">
        <v>7</v>
      </c>
      <c r="E104" s="1">
        <v>43867</v>
      </c>
      <c r="F104" s="3">
        <v>2386.65</v>
      </c>
    </row>
    <row r="105" spans="1:6" x14ac:dyDescent="0.45">
      <c r="A105" t="s">
        <v>22</v>
      </c>
      <c r="B105" t="s">
        <v>6</v>
      </c>
      <c r="C105" t="s">
        <v>29</v>
      </c>
      <c r="D105" t="s">
        <v>7</v>
      </c>
      <c r="E105" s="1">
        <v>43867</v>
      </c>
      <c r="F105" s="3">
        <v>3750.45</v>
      </c>
    </row>
    <row r="106" spans="1:6" x14ac:dyDescent="0.45">
      <c r="A106" t="s">
        <v>18</v>
      </c>
      <c r="B106" t="s">
        <v>6</v>
      </c>
      <c r="C106" t="s">
        <v>32</v>
      </c>
      <c r="D106" t="s">
        <v>7</v>
      </c>
      <c r="E106" s="1">
        <v>43867</v>
      </c>
      <c r="F106" s="3">
        <v>3068.5499999999997</v>
      </c>
    </row>
    <row r="107" spans="1:6" x14ac:dyDescent="0.45">
      <c r="A107" t="s">
        <v>18</v>
      </c>
      <c r="B107" t="s">
        <v>6</v>
      </c>
      <c r="C107" t="s">
        <v>32</v>
      </c>
      <c r="D107" t="s">
        <v>7</v>
      </c>
      <c r="E107" s="1">
        <v>43867</v>
      </c>
      <c r="F107" s="3">
        <v>4091.3999999999996</v>
      </c>
    </row>
    <row r="108" spans="1:6" x14ac:dyDescent="0.45">
      <c r="A108" t="s">
        <v>5</v>
      </c>
      <c r="B108" t="s">
        <v>6</v>
      </c>
      <c r="C108" t="s">
        <v>32</v>
      </c>
      <c r="D108" t="s">
        <v>7</v>
      </c>
      <c r="E108" s="1">
        <v>43867</v>
      </c>
      <c r="F108" s="3">
        <v>5114.25</v>
      </c>
    </row>
    <row r="109" spans="1:6" x14ac:dyDescent="0.45">
      <c r="A109" t="s">
        <v>5</v>
      </c>
      <c r="B109" t="s">
        <v>6</v>
      </c>
      <c r="C109" t="s">
        <v>32</v>
      </c>
      <c r="D109" t="s">
        <v>7</v>
      </c>
      <c r="E109" s="1">
        <v>43867</v>
      </c>
      <c r="F109" s="3">
        <v>5796.15</v>
      </c>
    </row>
    <row r="110" spans="1:6" x14ac:dyDescent="0.45">
      <c r="A110" t="s">
        <v>15</v>
      </c>
      <c r="B110" t="s">
        <v>6</v>
      </c>
      <c r="C110" t="s">
        <v>31</v>
      </c>
      <c r="D110" t="s">
        <v>10</v>
      </c>
      <c r="E110" s="1">
        <v>43867</v>
      </c>
      <c r="F110" s="3">
        <v>4773.3</v>
      </c>
    </row>
    <row r="111" spans="1:6" x14ac:dyDescent="0.45">
      <c r="A111" t="s">
        <v>26</v>
      </c>
      <c r="B111" t="s">
        <v>12</v>
      </c>
      <c r="C111" t="s">
        <v>30</v>
      </c>
      <c r="D111" t="s">
        <v>10</v>
      </c>
      <c r="E111" s="1">
        <v>43867</v>
      </c>
      <c r="F111" s="3">
        <v>239.96999999999997</v>
      </c>
    </row>
    <row r="112" spans="1:6" x14ac:dyDescent="0.45">
      <c r="A112" t="s">
        <v>25</v>
      </c>
      <c r="B112" t="s">
        <v>17</v>
      </c>
      <c r="C112" t="s">
        <v>32</v>
      </c>
      <c r="D112" t="s">
        <v>21</v>
      </c>
      <c r="E112" s="1">
        <v>43868</v>
      </c>
      <c r="F112" s="3">
        <v>4799.7000000000007</v>
      </c>
    </row>
    <row r="113" spans="1:6" x14ac:dyDescent="0.45">
      <c r="A113" t="s">
        <v>18</v>
      </c>
      <c r="B113" t="s">
        <v>12</v>
      </c>
      <c r="C113" t="s">
        <v>32</v>
      </c>
      <c r="D113" t="s">
        <v>21</v>
      </c>
      <c r="E113" s="1">
        <v>43868</v>
      </c>
      <c r="F113" s="3">
        <v>79.989999999999995</v>
      </c>
    </row>
    <row r="114" spans="1:6" x14ac:dyDescent="0.45">
      <c r="A114" t="s">
        <v>8</v>
      </c>
      <c r="B114" t="s">
        <v>12</v>
      </c>
      <c r="C114" t="s">
        <v>31</v>
      </c>
      <c r="D114" t="s">
        <v>21</v>
      </c>
      <c r="E114" s="1">
        <v>43869</v>
      </c>
      <c r="F114" s="3">
        <v>719.91</v>
      </c>
    </row>
    <row r="115" spans="1:6" x14ac:dyDescent="0.45">
      <c r="A115" t="s">
        <v>8</v>
      </c>
      <c r="B115" t="s">
        <v>12</v>
      </c>
      <c r="C115" t="s">
        <v>31</v>
      </c>
      <c r="D115" t="s">
        <v>21</v>
      </c>
      <c r="E115" s="1">
        <v>43869</v>
      </c>
      <c r="F115" s="3">
        <v>1119.8599999999999</v>
      </c>
    </row>
    <row r="116" spans="1:6" x14ac:dyDescent="0.45">
      <c r="A116" t="s">
        <v>16</v>
      </c>
      <c r="B116" t="s">
        <v>6</v>
      </c>
      <c r="C116" t="s">
        <v>29</v>
      </c>
      <c r="D116" t="s">
        <v>10</v>
      </c>
      <c r="E116" s="1">
        <v>43870</v>
      </c>
      <c r="F116" s="3">
        <v>340.95</v>
      </c>
    </row>
    <row r="117" spans="1:6" x14ac:dyDescent="0.45">
      <c r="A117" t="s">
        <v>16</v>
      </c>
      <c r="B117" t="s">
        <v>6</v>
      </c>
      <c r="C117" t="s">
        <v>29</v>
      </c>
      <c r="D117" t="s">
        <v>10</v>
      </c>
      <c r="E117" s="1">
        <v>43870</v>
      </c>
      <c r="F117" s="3">
        <v>1022.8499999999999</v>
      </c>
    </row>
    <row r="118" spans="1:6" x14ac:dyDescent="0.45">
      <c r="A118" t="s">
        <v>16</v>
      </c>
      <c r="B118" t="s">
        <v>17</v>
      </c>
      <c r="C118" t="s">
        <v>29</v>
      </c>
      <c r="D118" t="s">
        <v>21</v>
      </c>
      <c r="E118" s="1">
        <v>43872</v>
      </c>
      <c r="F118" s="3">
        <v>3199.8</v>
      </c>
    </row>
    <row r="119" spans="1:6" x14ac:dyDescent="0.45">
      <c r="A119" t="s">
        <v>16</v>
      </c>
      <c r="B119" t="s">
        <v>17</v>
      </c>
      <c r="C119" t="s">
        <v>29</v>
      </c>
      <c r="D119" t="s">
        <v>21</v>
      </c>
      <c r="E119" s="1">
        <v>43872</v>
      </c>
      <c r="F119" s="3">
        <v>8799.4500000000007</v>
      </c>
    </row>
    <row r="120" spans="1:6" x14ac:dyDescent="0.45">
      <c r="A120" t="s">
        <v>19</v>
      </c>
      <c r="B120" t="s">
        <v>14</v>
      </c>
      <c r="C120" t="s">
        <v>29</v>
      </c>
      <c r="D120" t="s">
        <v>13</v>
      </c>
      <c r="E120" s="1">
        <v>43872</v>
      </c>
      <c r="F120" s="3">
        <v>2365.2999999999997</v>
      </c>
    </row>
    <row r="121" spans="1:6" x14ac:dyDescent="0.45">
      <c r="A121" t="s">
        <v>16</v>
      </c>
      <c r="B121" t="s">
        <v>6</v>
      </c>
      <c r="C121" t="s">
        <v>29</v>
      </c>
      <c r="D121" t="s">
        <v>7</v>
      </c>
      <c r="E121" s="1">
        <v>43872</v>
      </c>
      <c r="F121" s="3">
        <v>3750.45</v>
      </c>
    </row>
    <row r="122" spans="1:6" x14ac:dyDescent="0.45">
      <c r="A122" t="s">
        <v>22</v>
      </c>
      <c r="B122" t="s">
        <v>6</v>
      </c>
      <c r="C122" t="s">
        <v>29</v>
      </c>
      <c r="D122" t="s">
        <v>21</v>
      </c>
      <c r="E122" s="1">
        <v>43872</v>
      </c>
      <c r="F122" s="3">
        <v>2386.65</v>
      </c>
    </row>
    <row r="123" spans="1:6" x14ac:dyDescent="0.45">
      <c r="A123" t="s">
        <v>19</v>
      </c>
      <c r="B123" t="s">
        <v>17</v>
      </c>
      <c r="C123" t="s">
        <v>29</v>
      </c>
      <c r="D123" t="s">
        <v>21</v>
      </c>
      <c r="E123" s="1">
        <v>43872</v>
      </c>
      <c r="F123" s="3">
        <v>8799.4500000000007</v>
      </c>
    </row>
    <row r="124" spans="1:6" x14ac:dyDescent="0.45">
      <c r="A124" t="s">
        <v>23</v>
      </c>
      <c r="B124" t="s">
        <v>14</v>
      </c>
      <c r="C124" t="s">
        <v>29</v>
      </c>
      <c r="D124" t="s">
        <v>24</v>
      </c>
      <c r="E124" s="1">
        <v>43872</v>
      </c>
      <c r="F124" s="3">
        <v>1182.6499999999999</v>
      </c>
    </row>
    <row r="125" spans="1:6" x14ac:dyDescent="0.45">
      <c r="A125" t="s">
        <v>23</v>
      </c>
      <c r="B125" t="s">
        <v>9</v>
      </c>
      <c r="C125" t="s">
        <v>29</v>
      </c>
      <c r="D125" t="s">
        <v>13</v>
      </c>
      <c r="E125" s="1">
        <v>43873</v>
      </c>
      <c r="F125" s="3">
        <v>1363.8</v>
      </c>
    </row>
    <row r="126" spans="1:6" x14ac:dyDescent="0.45">
      <c r="A126" t="s">
        <v>23</v>
      </c>
      <c r="B126" t="s">
        <v>9</v>
      </c>
      <c r="C126" t="s">
        <v>29</v>
      </c>
      <c r="D126" t="s">
        <v>13</v>
      </c>
      <c r="E126" s="1">
        <v>43873</v>
      </c>
      <c r="F126" s="3">
        <v>2045.6999999999998</v>
      </c>
    </row>
    <row r="127" spans="1:6" x14ac:dyDescent="0.45">
      <c r="A127" t="s">
        <v>5</v>
      </c>
      <c r="B127" t="s">
        <v>14</v>
      </c>
      <c r="C127" t="s">
        <v>32</v>
      </c>
      <c r="D127" t="s">
        <v>7</v>
      </c>
      <c r="E127" s="1">
        <v>43873</v>
      </c>
      <c r="F127" s="3">
        <v>1351.6</v>
      </c>
    </row>
    <row r="128" spans="1:6" x14ac:dyDescent="0.45">
      <c r="A128" t="s">
        <v>5</v>
      </c>
      <c r="B128" t="s">
        <v>14</v>
      </c>
      <c r="C128" t="s">
        <v>32</v>
      </c>
      <c r="D128" t="s">
        <v>7</v>
      </c>
      <c r="E128" s="1">
        <v>43873</v>
      </c>
      <c r="F128" s="3">
        <v>2196.35</v>
      </c>
    </row>
    <row r="129" spans="1:6" x14ac:dyDescent="0.45">
      <c r="A129" t="s">
        <v>5</v>
      </c>
      <c r="B129" t="s">
        <v>12</v>
      </c>
      <c r="C129" t="s">
        <v>32</v>
      </c>
      <c r="D129" t="s">
        <v>7</v>
      </c>
      <c r="E129" s="1">
        <v>43873</v>
      </c>
      <c r="F129" s="3">
        <v>639.91999999999996</v>
      </c>
    </row>
    <row r="130" spans="1:6" x14ac:dyDescent="0.45">
      <c r="A130" t="s">
        <v>5</v>
      </c>
      <c r="B130" t="s">
        <v>12</v>
      </c>
      <c r="C130" t="s">
        <v>32</v>
      </c>
      <c r="D130" t="s">
        <v>7</v>
      </c>
      <c r="E130" s="1">
        <v>43873</v>
      </c>
      <c r="F130" s="3">
        <v>1119.8599999999999</v>
      </c>
    </row>
    <row r="131" spans="1:6" x14ac:dyDescent="0.45">
      <c r="A131" t="s">
        <v>22</v>
      </c>
      <c r="B131" t="s">
        <v>12</v>
      </c>
      <c r="C131" t="s">
        <v>29</v>
      </c>
      <c r="D131" t="s">
        <v>7</v>
      </c>
      <c r="E131" s="1">
        <v>43876</v>
      </c>
      <c r="F131" s="3">
        <v>1359.83</v>
      </c>
    </row>
    <row r="132" spans="1:6" x14ac:dyDescent="0.45">
      <c r="A132" t="s">
        <v>23</v>
      </c>
      <c r="B132" t="s">
        <v>17</v>
      </c>
      <c r="C132" t="s">
        <v>29</v>
      </c>
      <c r="D132" t="s">
        <v>21</v>
      </c>
      <c r="E132" s="1">
        <v>43877</v>
      </c>
      <c r="F132" s="3">
        <v>799.95</v>
      </c>
    </row>
    <row r="133" spans="1:6" x14ac:dyDescent="0.45">
      <c r="A133" t="s">
        <v>20</v>
      </c>
      <c r="B133" t="s">
        <v>14</v>
      </c>
      <c r="C133" t="s">
        <v>32</v>
      </c>
      <c r="D133" t="s">
        <v>10</v>
      </c>
      <c r="E133" s="1">
        <v>43877</v>
      </c>
      <c r="F133" s="3">
        <v>1858.4499999999998</v>
      </c>
    </row>
    <row r="134" spans="1:6" x14ac:dyDescent="0.45">
      <c r="A134" t="s">
        <v>18</v>
      </c>
      <c r="B134" t="s">
        <v>14</v>
      </c>
      <c r="C134" t="s">
        <v>32</v>
      </c>
      <c r="D134" t="s">
        <v>7</v>
      </c>
      <c r="E134" s="1">
        <v>43878</v>
      </c>
      <c r="F134" s="3">
        <v>2365.2999999999997</v>
      </c>
    </row>
    <row r="135" spans="1:6" x14ac:dyDescent="0.45">
      <c r="A135" t="s">
        <v>16</v>
      </c>
      <c r="B135" t="s">
        <v>9</v>
      </c>
      <c r="C135" t="s">
        <v>29</v>
      </c>
      <c r="D135" t="s">
        <v>21</v>
      </c>
      <c r="E135" s="1">
        <v>43879</v>
      </c>
      <c r="F135" s="3">
        <v>681.9</v>
      </c>
    </row>
    <row r="136" spans="1:6" x14ac:dyDescent="0.45">
      <c r="A136" t="s">
        <v>11</v>
      </c>
      <c r="B136" t="s">
        <v>9</v>
      </c>
      <c r="C136" t="s">
        <v>30</v>
      </c>
      <c r="D136" t="s">
        <v>24</v>
      </c>
      <c r="E136" s="1">
        <v>43879</v>
      </c>
      <c r="F136" s="3">
        <v>5114.25</v>
      </c>
    </row>
    <row r="137" spans="1:6" x14ac:dyDescent="0.45">
      <c r="A137" t="s">
        <v>23</v>
      </c>
      <c r="B137" t="s">
        <v>17</v>
      </c>
      <c r="C137" t="s">
        <v>29</v>
      </c>
      <c r="D137" t="s">
        <v>13</v>
      </c>
      <c r="E137" s="1">
        <v>43880</v>
      </c>
      <c r="F137" s="3">
        <v>7199.55</v>
      </c>
    </row>
    <row r="138" spans="1:6" x14ac:dyDescent="0.45">
      <c r="A138" t="s">
        <v>18</v>
      </c>
      <c r="B138" t="s">
        <v>12</v>
      </c>
      <c r="C138" t="s">
        <v>32</v>
      </c>
      <c r="D138" t="s">
        <v>7</v>
      </c>
      <c r="E138" s="1">
        <v>43880</v>
      </c>
      <c r="F138" s="3">
        <v>1199.8499999999999</v>
      </c>
    </row>
    <row r="139" spans="1:6" x14ac:dyDescent="0.45">
      <c r="A139" t="s">
        <v>16</v>
      </c>
      <c r="B139" t="s">
        <v>17</v>
      </c>
      <c r="C139" t="s">
        <v>29</v>
      </c>
      <c r="D139" t="s">
        <v>7</v>
      </c>
      <c r="E139" s="1">
        <v>43880</v>
      </c>
      <c r="F139" s="3">
        <v>11199.300000000001</v>
      </c>
    </row>
    <row r="140" spans="1:6" x14ac:dyDescent="0.45">
      <c r="A140" t="s">
        <v>5</v>
      </c>
      <c r="B140" t="s">
        <v>12</v>
      </c>
      <c r="C140" t="s">
        <v>32</v>
      </c>
      <c r="D140" t="s">
        <v>7</v>
      </c>
      <c r="E140" s="1">
        <v>43880</v>
      </c>
      <c r="F140" s="3">
        <v>1599.8</v>
      </c>
    </row>
    <row r="141" spans="1:6" x14ac:dyDescent="0.45">
      <c r="A141" t="s">
        <v>20</v>
      </c>
      <c r="B141" t="s">
        <v>17</v>
      </c>
      <c r="C141" t="s">
        <v>32</v>
      </c>
      <c r="D141" t="s">
        <v>21</v>
      </c>
      <c r="E141" s="1">
        <v>43880</v>
      </c>
      <c r="F141" s="3">
        <v>3999.75</v>
      </c>
    </row>
    <row r="142" spans="1:6" x14ac:dyDescent="0.45">
      <c r="A142" t="s">
        <v>16</v>
      </c>
      <c r="B142" t="s">
        <v>9</v>
      </c>
      <c r="C142" t="s">
        <v>29</v>
      </c>
      <c r="D142" t="s">
        <v>13</v>
      </c>
      <c r="E142" s="1">
        <v>43880</v>
      </c>
      <c r="F142" s="3">
        <v>2386.65</v>
      </c>
    </row>
    <row r="143" spans="1:6" x14ac:dyDescent="0.45">
      <c r="A143" t="s">
        <v>20</v>
      </c>
      <c r="B143" t="s">
        <v>17</v>
      </c>
      <c r="C143" t="s">
        <v>32</v>
      </c>
      <c r="D143" t="s">
        <v>7</v>
      </c>
      <c r="E143" s="1">
        <v>43881</v>
      </c>
      <c r="F143" s="3">
        <v>14399.1</v>
      </c>
    </row>
    <row r="144" spans="1:6" x14ac:dyDescent="0.45">
      <c r="A144" t="s">
        <v>11</v>
      </c>
      <c r="B144" t="s">
        <v>14</v>
      </c>
      <c r="C144" t="s">
        <v>30</v>
      </c>
      <c r="D144" t="s">
        <v>21</v>
      </c>
      <c r="E144" s="1">
        <v>43881</v>
      </c>
      <c r="F144" s="3">
        <v>1351.6</v>
      </c>
    </row>
    <row r="145" spans="1:6" x14ac:dyDescent="0.45">
      <c r="A145" t="s">
        <v>8</v>
      </c>
      <c r="B145" t="s">
        <v>17</v>
      </c>
      <c r="C145" t="s">
        <v>31</v>
      </c>
      <c r="D145" t="s">
        <v>10</v>
      </c>
      <c r="E145" s="1">
        <v>43881</v>
      </c>
      <c r="F145" s="3">
        <v>3199.8</v>
      </c>
    </row>
    <row r="146" spans="1:6" x14ac:dyDescent="0.45">
      <c r="A146" t="s">
        <v>20</v>
      </c>
      <c r="B146" t="s">
        <v>17</v>
      </c>
      <c r="C146" t="s">
        <v>32</v>
      </c>
      <c r="D146" t="s">
        <v>21</v>
      </c>
      <c r="E146" s="1">
        <v>43882</v>
      </c>
      <c r="F146" s="3">
        <v>11199.300000000001</v>
      </c>
    </row>
    <row r="147" spans="1:6" x14ac:dyDescent="0.45">
      <c r="A147" t="s">
        <v>16</v>
      </c>
      <c r="B147" t="s">
        <v>6</v>
      </c>
      <c r="C147" t="s">
        <v>29</v>
      </c>
      <c r="D147" t="s">
        <v>7</v>
      </c>
      <c r="E147" s="1">
        <v>43883</v>
      </c>
      <c r="F147" s="3">
        <v>6137.0999999999995</v>
      </c>
    </row>
    <row r="148" spans="1:6" x14ac:dyDescent="0.45">
      <c r="A148" t="s">
        <v>15</v>
      </c>
      <c r="B148" t="s">
        <v>6</v>
      </c>
      <c r="C148" t="s">
        <v>31</v>
      </c>
      <c r="D148" t="s">
        <v>10</v>
      </c>
      <c r="E148" s="1">
        <v>43883</v>
      </c>
      <c r="F148" s="3">
        <v>681.9</v>
      </c>
    </row>
    <row r="149" spans="1:6" x14ac:dyDescent="0.45">
      <c r="A149" t="s">
        <v>11</v>
      </c>
      <c r="B149" t="s">
        <v>9</v>
      </c>
      <c r="C149" t="s">
        <v>30</v>
      </c>
      <c r="D149" t="s">
        <v>13</v>
      </c>
      <c r="E149" s="1">
        <v>43883</v>
      </c>
      <c r="F149" s="3">
        <v>2045.6999999999998</v>
      </c>
    </row>
    <row r="150" spans="1:6" x14ac:dyDescent="0.45">
      <c r="A150" t="s">
        <v>26</v>
      </c>
      <c r="B150" t="s">
        <v>12</v>
      </c>
      <c r="C150" t="s">
        <v>30</v>
      </c>
      <c r="D150" t="s">
        <v>13</v>
      </c>
      <c r="E150" s="1">
        <v>43883</v>
      </c>
      <c r="F150" s="3">
        <v>239.96999999999997</v>
      </c>
    </row>
    <row r="151" spans="1:6" x14ac:dyDescent="0.45">
      <c r="A151" t="s">
        <v>18</v>
      </c>
      <c r="B151" t="s">
        <v>6</v>
      </c>
      <c r="C151" t="s">
        <v>32</v>
      </c>
      <c r="D151" t="s">
        <v>7</v>
      </c>
      <c r="E151" s="1">
        <v>43883</v>
      </c>
      <c r="F151" s="3">
        <v>6478.05</v>
      </c>
    </row>
    <row r="152" spans="1:6" x14ac:dyDescent="0.45">
      <c r="A152" t="s">
        <v>22</v>
      </c>
      <c r="B152" t="s">
        <v>17</v>
      </c>
      <c r="C152" t="s">
        <v>29</v>
      </c>
      <c r="D152" t="s">
        <v>24</v>
      </c>
      <c r="E152" s="1">
        <v>43883</v>
      </c>
      <c r="F152" s="3">
        <v>10399.35</v>
      </c>
    </row>
    <row r="153" spans="1:6" x14ac:dyDescent="0.45">
      <c r="A153" t="s">
        <v>16</v>
      </c>
      <c r="B153" t="s">
        <v>17</v>
      </c>
      <c r="C153" t="s">
        <v>29</v>
      </c>
      <c r="D153" t="s">
        <v>7</v>
      </c>
      <c r="E153" s="1">
        <v>43884</v>
      </c>
      <c r="F153" s="3">
        <v>13599.150000000001</v>
      </c>
    </row>
    <row r="154" spans="1:6" x14ac:dyDescent="0.45">
      <c r="A154" t="s">
        <v>22</v>
      </c>
      <c r="B154" t="s">
        <v>6</v>
      </c>
      <c r="C154" t="s">
        <v>29</v>
      </c>
      <c r="D154" t="s">
        <v>21</v>
      </c>
      <c r="E154" s="1">
        <v>43884</v>
      </c>
      <c r="F154" s="3">
        <v>4091.3999999999996</v>
      </c>
    </row>
    <row r="155" spans="1:6" x14ac:dyDescent="0.45">
      <c r="A155" t="s">
        <v>5</v>
      </c>
      <c r="B155" t="s">
        <v>6</v>
      </c>
      <c r="C155" t="s">
        <v>32</v>
      </c>
      <c r="D155" t="s">
        <v>13</v>
      </c>
      <c r="E155" s="1">
        <v>43885</v>
      </c>
      <c r="F155" s="3">
        <v>3750.45</v>
      </c>
    </row>
    <row r="156" spans="1:6" x14ac:dyDescent="0.45">
      <c r="A156" t="s">
        <v>19</v>
      </c>
      <c r="B156" t="s">
        <v>6</v>
      </c>
      <c r="C156" t="s">
        <v>29</v>
      </c>
      <c r="D156" t="s">
        <v>21</v>
      </c>
      <c r="E156" s="1">
        <v>43886</v>
      </c>
      <c r="F156" s="3">
        <v>2045.6999999999998</v>
      </c>
    </row>
    <row r="157" spans="1:6" x14ac:dyDescent="0.45">
      <c r="A157" t="s">
        <v>26</v>
      </c>
      <c r="B157" t="s">
        <v>6</v>
      </c>
      <c r="C157" t="s">
        <v>30</v>
      </c>
      <c r="D157" t="s">
        <v>24</v>
      </c>
      <c r="E157" s="1">
        <v>43886</v>
      </c>
      <c r="F157" s="3">
        <v>1022.8499999999999</v>
      </c>
    </row>
    <row r="158" spans="1:6" x14ac:dyDescent="0.45">
      <c r="A158" t="s">
        <v>16</v>
      </c>
      <c r="B158" t="s">
        <v>9</v>
      </c>
      <c r="C158" t="s">
        <v>29</v>
      </c>
      <c r="D158" t="s">
        <v>10</v>
      </c>
      <c r="E158" s="1">
        <v>43888</v>
      </c>
      <c r="F158" s="3">
        <v>4773.3</v>
      </c>
    </row>
    <row r="159" spans="1:6" x14ac:dyDescent="0.45">
      <c r="A159" t="s">
        <v>18</v>
      </c>
      <c r="B159" t="s">
        <v>12</v>
      </c>
      <c r="C159" t="s">
        <v>32</v>
      </c>
      <c r="D159" t="s">
        <v>21</v>
      </c>
      <c r="E159" s="1">
        <v>43888</v>
      </c>
      <c r="F159" s="3">
        <v>479.93999999999994</v>
      </c>
    </row>
    <row r="160" spans="1:6" x14ac:dyDescent="0.45">
      <c r="A160" t="s">
        <v>25</v>
      </c>
      <c r="B160" t="s">
        <v>14</v>
      </c>
      <c r="C160" t="s">
        <v>32</v>
      </c>
      <c r="D160" t="s">
        <v>24</v>
      </c>
      <c r="E160" s="1">
        <v>43888</v>
      </c>
      <c r="F160" s="3">
        <v>1351.6</v>
      </c>
    </row>
    <row r="161" spans="1:6" x14ac:dyDescent="0.45">
      <c r="A161" t="s">
        <v>16</v>
      </c>
      <c r="B161" t="s">
        <v>17</v>
      </c>
      <c r="C161" t="s">
        <v>29</v>
      </c>
      <c r="D161" t="s">
        <v>13</v>
      </c>
      <c r="E161" s="1">
        <v>43889</v>
      </c>
      <c r="F161" s="3">
        <v>7199.55</v>
      </c>
    </row>
    <row r="162" spans="1:6" x14ac:dyDescent="0.45">
      <c r="A162" t="s">
        <v>18</v>
      </c>
      <c r="B162" t="s">
        <v>9</v>
      </c>
      <c r="C162" t="s">
        <v>32</v>
      </c>
      <c r="D162" t="s">
        <v>10</v>
      </c>
      <c r="E162" s="1">
        <v>43891</v>
      </c>
      <c r="F162" s="3">
        <v>3750.45</v>
      </c>
    </row>
    <row r="163" spans="1:6" x14ac:dyDescent="0.45">
      <c r="A163" t="s">
        <v>5</v>
      </c>
      <c r="B163" t="s">
        <v>9</v>
      </c>
      <c r="C163" t="s">
        <v>32</v>
      </c>
      <c r="D163" t="s">
        <v>10</v>
      </c>
      <c r="E163" s="1">
        <v>43891</v>
      </c>
      <c r="F163" s="3">
        <v>3750.45</v>
      </c>
    </row>
    <row r="164" spans="1:6" x14ac:dyDescent="0.45">
      <c r="A164" t="s">
        <v>22</v>
      </c>
      <c r="B164" t="s">
        <v>9</v>
      </c>
      <c r="C164" t="s">
        <v>29</v>
      </c>
      <c r="D164" t="s">
        <v>24</v>
      </c>
      <c r="E164" s="1">
        <v>43893</v>
      </c>
      <c r="F164" s="3">
        <v>4091.3999999999996</v>
      </c>
    </row>
    <row r="165" spans="1:6" x14ac:dyDescent="0.45">
      <c r="A165" t="s">
        <v>8</v>
      </c>
      <c r="B165" t="s">
        <v>14</v>
      </c>
      <c r="C165" t="s">
        <v>31</v>
      </c>
      <c r="D165" t="s">
        <v>13</v>
      </c>
      <c r="E165" s="1">
        <v>43894</v>
      </c>
      <c r="F165" s="3">
        <v>675.8</v>
      </c>
    </row>
    <row r="166" spans="1:6" x14ac:dyDescent="0.45">
      <c r="A166" t="s">
        <v>18</v>
      </c>
      <c r="B166" t="s">
        <v>9</v>
      </c>
      <c r="C166" t="s">
        <v>32</v>
      </c>
      <c r="D166" t="s">
        <v>7</v>
      </c>
      <c r="E166" s="1">
        <v>43894</v>
      </c>
      <c r="F166" s="3">
        <v>6819</v>
      </c>
    </row>
    <row r="167" spans="1:6" x14ac:dyDescent="0.45">
      <c r="A167" t="s">
        <v>23</v>
      </c>
      <c r="B167" t="s">
        <v>17</v>
      </c>
      <c r="C167" t="s">
        <v>29</v>
      </c>
      <c r="D167" t="s">
        <v>24</v>
      </c>
      <c r="E167" s="1">
        <v>43894</v>
      </c>
      <c r="F167" s="3">
        <v>10399.35</v>
      </c>
    </row>
    <row r="168" spans="1:6" x14ac:dyDescent="0.45">
      <c r="A168" t="s">
        <v>8</v>
      </c>
      <c r="B168" t="s">
        <v>12</v>
      </c>
      <c r="C168" t="s">
        <v>31</v>
      </c>
      <c r="D168" t="s">
        <v>10</v>
      </c>
      <c r="E168" s="1">
        <v>43895</v>
      </c>
      <c r="F168" s="3">
        <v>799.9</v>
      </c>
    </row>
    <row r="169" spans="1:6" x14ac:dyDescent="0.45">
      <c r="A169" t="s">
        <v>16</v>
      </c>
      <c r="B169" t="s">
        <v>12</v>
      </c>
      <c r="C169" t="s">
        <v>29</v>
      </c>
      <c r="D169" t="s">
        <v>13</v>
      </c>
      <c r="E169" s="1">
        <v>43897</v>
      </c>
      <c r="F169" s="3">
        <v>959.87999999999988</v>
      </c>
    </row>
    <row r="170" spans="1:6" x14ac:dyDescent="0.45">
      <c r="A170" t="s">
        <v>22</v>
      </c>
      <c r="B170" t="s">
        <v>14</v>
      </c>
      <c r="C170" t="s">
        <v>29</v>
      </c>
      <c r="D170" t="s">
        <v>7</v>
      </c>
      <c r="E170" s="1">
        <v>43897</v>
      </c>
      <c r="F170" s="3">
        <v>1351.6</v>
      </c>
    </row>
    <row r="171" spans="1:6" x14ac:dyDescent="0.45">
      <c r="A171" t="s">
        <v>15</v>
      </c>
      <c r="B171" t="s">
        <v>14</v>
      </c>
      <c r="C171" t="s">
        <v>31</v>
      </c>
      <c r="D171" t="s">
        <v>13</v>
      </c>
      <c r="E171" s="1">
        <v>43898</v>
      </c>
      <c r="F171" s="3">
        <v>1858.4499999999998</v>
      </c>
    </row>
    <row r="172" spans="1:6" x14ac:dyDescent="0.45">
      <c r="A172" t="s">
        <v>16</v>
      </c>
      <c r="B172" t="s">
        <v>9</v>
      </c>
      <c r="C172" t="s">
        <v>29</v>
      </c>
      <c r="D172" t="s">
        <v>24</v>
      </c>
      <c r="E172" s="1">
        <v>43899</v>
      </c>
      <c r="F172" s="3">
        <v>340.95</v>
      </c>
    </row>
    <row r="173" spans="1:6" x14ac:dyDescent="0.45">
      <c r="A173" t="s">
        <v>26</v>
      </c>
      <c r="B173" t="s">
        <v>6</v>
      </c>
      <c r="C173" t="s">
        <v>30</v>
      </c>
      <c r="D173" t="s">
        <v>21</v>
      </c>
      <c r="E173" s="1">
        <v>43901</v>
      </c>
      <c r="F173" s="3">
        <v>681.9</v>
      </c>
    </row>
    <row r="174" spans="1:6" x14ac:dyDescent="0.45">
      <c r="A174" t="s">
        <v>26</v>
      </c>
      <c r="B174" t="s">
        <v>12</v>
      </c>
      <c r="C174" t="s">
        <v>30</v>
      </c>
      <c r="D174" t="s">
        <v>21</v>
      </c>
      <c r="E174" s="1">
        <v>43901</v>
      </c>
      <c r="F174" s="3">
        <v>159.97999999999999</v>
      </c>
    </row>
    <row r="175" spans="1:6" x14ac:dyDescent="0.45">
      <c r="A175" t="s">
        <v>19</v>
      </c>
      <c r="B175" t="s">
        <v>9</v>
      </c>
      <c r="C175" t="s">
        <v>29</v>
      </c>
      <c r="D175" t="s">
        <v>10</v>
      </c>
      <c r="E175" s="1">
        <v>43901</v>
      </c>
      <c r="F175" s="3">
        <v>4091.3999999999996</v>
      </c>
    </row>
    <row r="176" spans="1:6" x14ac:dyDescent="0.45">
      <c r="A176" t="s">
        <v>22</v>
      </c>
      <c r="B176" t="s">
        <v>17</v>
      </c>
      <c r="C176" t="s">
        <v>29</v>
      </c>
      <c r="D176" t="s">
        <v>13</v>
      </c>
      <c r="E176" s="1">
        <v>43902</v>
      </c>
      <c r="F176" s="3">
        <v>6399.6</v>
      </c>
    </row>
    <row r="177" spans="1:6" x14ac:dyDescent="0.45">
      <c r="A177" t="s">
        <v>23</v>
      </c>
      <c r="B177" t="s">
        <v>14</v>
      </c>
      <c r="C177" t="s">
        <v>29</v>
      </c>
      <c r="D177" t="s">
        <v>10</v>
      </c>
      <c r="E177" s="1">
        <v>43902</v>
      </c>
      <c r="F177" s="3">
        <v>2534.25</v>
      </c>
    </row>
    <row r="178" spans="1:6" x14ac:dyDescent="0.45">
      <c r="A178" t="s">
        <v>5</v>
      </c>
      <c r="B178" t="s">
        <v>6</v>
      </c>
      <c r="C178" t="s">
        <v>32</v>
      </c>
      <c r="D178" t="s">
        <v>24</v>
      </c>
      <c r="E178" s="1">
        <v>43902</v>
      </c>
      <c r="F178" s="3">
        <v>2045.6999999999998</v>
      </c>
    </row>
    <row r="179" spans="1:6" x14ac:dyDescent="0.45">
      <c r="A179" t="s">
        <v>23</v>
      </c>
      <c r="B179" t="s">
        <v>6</v>
      </c>
      <c r="C179" t="s">
        <v>29</v>
      </c>
      <c r="D179" t="s">
        <v>7</v>
      </c>
      <c r="E179" s="1">
        <v>43903</v>
      </c>
      <c r="F179" s="3">
        <v>5796.15</v>
      </c>
    </row>
    <row r="180" spans="1:6" x14ac:dyDescent="0.45">
      <c r="A180" t="s">
        <v>11</v>
      </c>
      <c r="B180" t="s">
        <v>6</v>
      </c>
      <c r="C180" t="s">
        <v>30</v>
      </c>
      <c r="D180" t="s">
        <v>21</v>
      </c>
      <c r="E180" s="1">
        <v>43903</v>
      </c>
      <c r="F180" s="3">
        <v>681.9</v>
      </c>
    </row>
    <row r="181" spans="1:6" x14ac:dyDescent="0.45">
      <c r="A181" t="s">
        <v>23</v>
      </c>
      <c r="B181" t="s">
        <v>6</v>
      </c>
      <c r="C181" t="s">
        <v>29</v>
      </c>
      <c r="D181" t="s">
        <v>21</v>
      </c>
      <c r="E181" s="1">
        <v>43903</v>
      </c>
      <c r="F181" s="3">
        <v>3068.5499999999997</v>
      </c>
    </row>
    <row r="182" spans="1:6" x14ac:dyDescent="0.45">
      <c r="A182" t="s">
        <v>16</v>
      </c>
      <c r="B182" t="s">
        <v>17</v>
      </c>
      <c r="C182" t="s">
        <v>29</v>
      </c>
      <c r="D182" t="s">
        <v>21</v>
      </c>
      <c r="E182" s="1">
        <v>43903</v>
      </c>
      <c r="F182" s="3">
        <v>6399.6</v>
      </c>
    </row>
    <row r="183" spans="1:6" x14ac:dyDescent="0.45">
      <c r="A183" t="s">
        <v>5</v>
      </c>
      <c r="B183" t="s">
        <v>9</v>
      </c>
      <c r="C183" t="s">
        <v>32</v>
      </c>
      <c r="D183" t="s">
        <v>13</v>
      </c>
      <c r="E183" s="1">
        <v>43904</v>
      </c>
      <c r="F183" s="3">
        <v>1704.75</v>
      </c>
    </row>
    <row r="184" spans="1:6" x14ac:dyDescent="0.45">
      <c r="A184" t="s">
        <v>19</v>
      </c>
      <c r="B184" t="s">
        <v>6</v>
      </c>
      <c r="C184" t="s">
        <v>29</v>
      </c>
      <c r="D184" t="s">
        <v>13</v>
      </c>
      <c r="E184" s="1">
        <v>43904</v>
      </c>
      <c r="F184" s="3">
        <v>4432.3499999999995</v>
      </c>
    </row>
    <row r="185" spans="1:6" x14ac:dyDescent="0.45">
      <c r="A185" t="s">
        <v>22</v>
      </c>
      <c r="B185" t="s">
        <v>17</v>
      </c>
      <c r="C185" t="s">
        <v>29</v>
      </c>
      <c r="D185" t="s">
        <v>7</v>
      </c>
      <c r="E185" s="1">
        <v>43904</v>
      </c>
      <c r="F185" s="3">
        <v>7199.55</v>
      </c>
    </row>
    <row r="186" spans="1:6" x14ac:dyDescent="0.45">
      <c r="A186" t="s">
        <v>18</v>
      </c>
      <c r="B186" t="s">
        <v>9</v>
      </c>
      <c r="C186" t="s">
        <v>32</v>
      </c>
      <c r="D186" t="s">
        <v>21</v>
      </c>
      <c r="E186" s="1">
        <v>43904</v>
      </c>
      <c r="F186" s="3">
        <v>3750.45</v>
      </c>
    </row>
    <row r="187" spans="1:6" x14ac:dyDescent="0.45">
      <c r="A187" t="s">
        <v>25</v>
      </c>
      <c r="B187" t="s">
        <v>17</v>
      </c>
      <c r="C187" t="s">
        <v>32</v>
      </c>
      <c r="D187" t="s">
        <v>7</v>
      </c>
      <c r="E187" s="1">
        <v>43905</v>
      </c>
      <c r="F187" s="3">
        <v>6399.6</v>
      </c>
    </row>
    <row r="188" spans="1:6" x14ac:dyDescent="0.45">
      <c r="A188" t="s">
        <v>8</v>
      </c>
      <c r="B188" t="s">
        <v>6</v>
      </c>
      <c r="C188" t="s">
        <v>31</v>
      </c>
      <c r="D188" t="s">
        <v>24</v>
      </c>
      <c r="E188" s="1">
        <v>43905</v>
      </c>
      <c r="F188" s="3">
        <v>1363.8</v>
      </c>
    </row>
    <row r="189" spans="1:6" x14ac:dyDescent="0.45">
      <c r="A189" t="s">
        <v>18</v>
      </c>
      <c r="B189" t="s">
        <v>17</v>
      </c>
      <c r="C189" t="s">
        <v>32</v>
      </c>
      <c r="D189" t="s">
        <v>13</v>
      </c>
      <c r="E189" s="1">
        <v>43906</v>
      </c>
      <c r="F189" s="3">
        <v>8799.4500000000007</v>
      </c>
    </row>
    <row r="190" spans="1:6" x14ac:dyDescent="0.45">
      <c r="A190" t="s">
        <v>5</v>
      </c>
      <c r="B190" t="s">
        <v>12</v>
      </c>
      <c r="C190" t="s">
        <v>32</v>
      </c>
      <c r="D190" t="s">
        <v>13</v>
      </c>
      <c r="E190" s="1">
        <v>43908</v>
      </c>
      <c r="F190" s="3">
        <v>719.91</v>
      </c>
    </row>
    <row r="191" spans="1:6" x14ac:dyDescent="0.45">
      <c r="A191" t="s">
        <v>11</v>
      </c>
      <c r="B191" t="s">
        <v>12</v>
      </c>
      <c r="C191" t="s">
        <v>30</v>
      </c>
      <c r="D191" t="s">
        <v>24</v>
      </c>
      <c r="E191" s="1">
        <v>43908</v>
      </c>
      <c r="F191" s="3">
        <v>79.989999999999995</v>
      </c>
    </row>
    <row r="192" spans="1:6" x14ac:dyDescent="0.45">
      <c r="A192" t="s">
        <v>20</v>
      </c>
      <c r="B192" t="s">
        <v>6</v>
      </c>
      <c r="C192" t="s">
        <v>32</v>
      </c>
      <c r="D192" t="s">
        <v>24</v>
      </c>
      <c r="E192" s="1">
        <v>43908</v>
      </c>
      <c r="F192" s="3">
        <v>3750.45</v>
      </c>
    </row>
    <row r="193" spans="1:6" x14ac:dyDescent="0.45">
      <c r="A193" t="s">
        <v>22</v>
      </c>
      <c r="B193" t="s">
        <v>9</v>
      </c>
      <c r="C193" t="s">
        <v>29</v>
      </c>
      <c r="D193" t="s">
        <v>10</v>
      </c>
      <c r="E193" s="1">
        <v>43908</v>
      </c>
      <c r="F193" s="3">
        <v>1363.8</v>
      </c>
    </row>
    <row r="194" spans="1:6" x14ac:dyDescent="0.45">
      <c r="A194" t="s">
        <v>26</v>
      </c>
      <c r="B194" t="s">
        <v>9</v>
      </c>
      <c r="C194" t="s">
        <v>30</v>
      </c>
      <c r="D194" t="s">
        <v>24</v>
      </c>
      <c r="E194" s="1">
        <v>43908</v>
      </c>
      <c r="F194" s="3">
        <v>2727.6</v>
      </c>
    </row>
    <row r="195" spans="1:6" x14ac:dyDescent="0.45">
      <c r="A195" t="s">
        <v>15</v>
      </c>
      <c r="B195" t="s">
        <v>12</v>
      </c>
      <c r="C195" t="s">
        <v>31</v>
      </c>
      <c r="D195" t="s">
        <v>13</v>
      </c>
      <c r="E195" s="1">
        <v>43909</v>
      </c>
      <c r="F195" s="3">
        <v>399.95</v>
      </c>
    </row>
    <row r="196" spans="1:6" x14ac:dyDescent="0.45">
      <c r="A196" t="s">
        <v>19</v>
      </c>
      <c r="B196" t="s">
        <v>12</v>
      </c>
      <c r="C196" t="s">
        <v>29</v>
      </c>
      <c r="D196" t="s">
        <v>7</v>
      </c>
      <c r="E196" s="1">
        <v>43909</v>
      </c>
      <c r="F196" s="3">
        <v>1439.82</v>
      </c>
    </row>
    <row r="197" spans="1:6" x14ac:dyDescent="0.45">
      <c r="A197" t="s">
        <v>16</v>
      </c>
      <c r="B197" t="s">
        <v>12</v>
      </c>
      <c r="C197" t="s">
        <v>29</v>
      </c>
      <c r="D197" t="s">
        <v>10</v>
      </c>
      <c r="E197" s="1">
        <v>43909</v>
      </c>
      <c r="F197" s="3">
        <v>719.91</v>
      </c>
    </row>
    <row r="198" spans="1:6" x14ac:dyDescent="0.45">
      <c r="A198" t="s">
        <v>20</v>
      </c>
      <c r="B198" t="s">
        <v>14</v>
      </c>
      <c r="C198" t="s">
        <v>32</v>
      </c>
      <c r="D198" t="s">
        <v>10</v>
      </c>
      <c r="E198" s="1">
        <v>43910</v>
      </c>
      <c r="F198" s="3">
        <v>2027.3999999999999</v>
      </c>
    </row>
    <row r="199" spans="1:6" x14ac:dyDescent="0.45">
      <c r="A199" t="s">
        <v>22</v>
      </c>
      <c r="B199" t="s">
        <v>9</v>
      </c>
      <c r="C199" t="s">
        <v>29</v>
      </c>
      <c r="D199" t="s">
        <v>21</v>
      </c>
      <c r="E199" s="1">
        <v>43911</v>
      </c>
      <c r="F199" s="3">
        <v>340.95</v>
      </c>
    </row>
    <row r="200" spans="1:6" x14ac:dyDescent="0.45">
      <c r="A200" t="s">
        <v>20</v>
      </c>
      <c r="B200" t="s">
        <v>17</v>
      </c>
      <c r="C200" t="s">
        <v>32</v>
      </c>
      <c r="D200" t="s">
        <v>21</v>
      </c>
      <c r="E200" s="1">
        <v>43911</v>
      </c>
      <c r="F200" s="3">
        <v>7199.55</v>
      </c>
    </row>
    <row r="201" spans="1:6" x14ac:dyDescent="0.45">
      <c r="A201" t="s">
        <v>22</v>
      </c>
      <c r="B201" t="s">
        <v>12</v>
      </c>
      <c r="C201" t="s">
        <v>29</v>
      </c>
      <c r="D201" t="s">
        <v>13</v>
      </c>
      <c r="E201" s="1">
        <v>43912</v>
      </c>
      <c r="F201" s="3">
        <v>79.989999999999995</v>
      </c>
    </row>
    <row r="202" spans="1:6" x14ac:dyDescent="0.45">
      <c r="A202" t="s">
        <v>18</v>
      </c>
      <c r="B202" t="s">
        <v>9</v>
      </c>
      <c r="C202" t="s">
        <v>32</v>
      </c>
      <c r="D202" t="s">
        <v>7</v>
      </c>
      <c r="E202" s="1">
        <v>43913</v>
      </c>
      <c r="F202" s="3">
        <v>5455.2</v>
      </c>
    </row>
    <row r="203" spans="1:6" x14ac:dyDescent="0.45">
      <c r="A203" t="s">
        <v>23</v>
      </c>
      <c r="B203" t="s">
        <v>17</v>
      </c>
      <c r="C203" t="s">
        <v>29</v>
      </c>
      <c r="D203" t="s">
        <v>24</v>
      </c>
      <c r="E203" s="1">
        <v>43915</v>
      </c>
      <c r="F203" s="3">
        <v>7999.5</v>
      </c>
    </row>
    <row r="204" spans="1:6" x14ac:dyDescent="0.45">
      <c r="A204" t="s">
        <v>16</v>
      </c>
      <c r="B204" t="s">
        <v>17</v>
      </c>
      <c r="C204" t="s">
        <v>29</v>
      </c>
      <c r="D204" t="s">
        <v>10</v>
      </c>
      <c r="E204" s="1">
        <v>43916</v>
      </c>
      <c r="F204" s="3">
        <v>6399.6</v>
      </c>
    </row>
    <row r="205" spans="1:6" x14ac:dyDescent="0.45">
      <c r="A205" t="s">
        <v>5</v>
      </c>
      <c r="B205" t="s">
        <v>12</v>
      </c>
      <c r="C205" t="s">
        <v>32</v>
      </c>
      <c r="D205" t="s">
        <v>7</v>
      </c>
      <c r="E205" s="1">
        <v>43917</v>
      </c>
      <c r="F205" s="3">
        <v>1599.8</v>
      </c>
    </row>
    <row r="206" spans="1:6" x14ac:dyDescent="0.45">
      <c r="A206" t="s">
        <v>23</v>
      </c>
      <c r="B206" t="s">
        <v>9</v>
      </c>
      <c r="C206" t="s">
        <v>29</v>
      </c>
      <c r="D206" t="s">
        <v>24</v>
      </c>
      <c r="E206" s="1">
        <v>43917</v>
      </c>
      <c r="F206" s="3">
        <v>2045.6999999999998</v>
      </c>
    </row>
    <row r="207" spans="1:6" x14ac:dyDescent="0.45">
      <c r="A207" t="s">
        <v>23</v>
      </c>
      <c r="B207" t="s">
        <v>6</v>
      </c>
      <c r="C207" t="s">
        <v>29</v>
      </c>
      <c r="D207" t="s">
        <v>7</v>
      </c>
      <c r="E207" s="1">
        <v>43917</v>
      </c>
      <c r="F207" s="3">
        <v>6137.0999999999995</v>
      </c>
    </row>
    <row r="208" spans="1:6" x14ac:dyDescent="0.45">
      <c r="A208" t="s">
        <v>11</v>
      </c>
      <c r="B208" t="s">
        <v>9</v>
      </c>
      <c r="C208" t="s">
        <v>30</v>
      </c>
      <c r="D208" t="s">
        <v>21</v>
      </c>
      <c r="E208" s="1">
        <v>43917</v>
      </c>
      <c r="F208" s="3">
        <v>1363.8</v>
      </c>
    </row>
    <row r="209" spans="1:6" x14ac:dyDescent="0.45">
      <c r="A209" t="s">
        <v>18</v>
      </c>
      <c r="B209" t="s">
        <v>14</v>
      </c>
      <c r="C209" t="s">
        <v>32</v>
      </c>
      <c r="D209" t="s">
        <v>10</v>
      </c>
      <c r="E209" s="1">
        <v>43917</v>
      </c>
      <c r="F209" s="3">
        <v>1520.55</v>
      </c>
    </row>
    <row r="210" spans="1:6" x14ac:dyDescent="0.45">
      <c r="A210" t="s">
        <v>5</v>
      </c>
      <c r="B210" t="s">
        <v>6</v>
      </c>
      <c r="C210" t="s">
        <v>32</v>
      </c>
      <c r="D210" t="s">
        <v>21</v>
      </c>
      <c r="E210" s="1">
        <v>43918</v>
      </c>
      <c r="F210" s="3">
        <v>1363.8</v>
      </c>
    </row>
    <row r="211" spans="1:6" x14ac:dyDescent="0.45">
      <c r="A211" t="s">
        <v>22</v>
      </c>
      <c r="B211" t="s">
        <v>9</v>
      </c>
      <c r="C211" t="s">
        <v>29</v>
      </c>
      <c r="D211" t="s">
        <v>7</v>
      </c>
      <c r="E211" s="1">
        <v>43919</v>
      </c>
      <c r="F211" s="3">
        <v>6819</v>
      </c>
    </row>
    <row r="212" spans="1:6" x14ac:dyDescent="0.45">
      <c r="A212" t="s">
        <v>8</v>
      </c>
      <c r="B212" t="s">
        <v>17</v>
      </c>
      <c r="C212" t="s">
        <v>31</v>
      </c>
      <c r="D212" t="s">
        <v>7</v>
      </c>
      <c r="E212" s="1">
        <v>43919</v>
      </c>
      <c r="F212" s="3">
        <v>5599.6500000000005</v>
      </c>
    </row>
    <row r="213" spans="1:6" x14ac:dyDescent="0.45">
      <c r="A213" t="s">
        <v>18</v>
      </c>
      <c r="B213" t="s">
        <v>6</v>
      </c>
      <c r="C213" t="s">
        <v>32</v>
      </c>
      <c r="D213" t="s">
        <v>21</v>
      </c>
      <c r="E213" s="1">
        <v>43919</v>
      </c>
      <c r="F213" s="3">
        <v>2045.6999999999998</v>
      </c>
    </row>
    <row r="214" spans="1:6" x14ac:dyDescent="0.45">
      <c r="A214" t="s">
        <v>23</v>
      </c>
      <c r="B214" t="s">
        <v>9</v>
      </c>
      <c r="C214" t="s">
        <v>29</v>
      </c>
      <c r="D214" t="s">
        <v>13</v>
      </c>
      <c r="E214" s="1">
        <v>43920</v>
      </c>
      <c r="F214" s="3">
        <v>5114.25</v>
      </c>
    </row>
    <row r="215" spans="1:6" x14ac:dyDescent="0.45">
      <c r="A215" t="s">
        <v>11</v>
      </c>
      <c r="B215" t="s">
        <v>14</v>
      </c>
      <c r="C215" t="s">
        <v>30</v>
      </c>
      <c r="D215" t="s">
        <v>21</v>
      </c>
      <c r="E215" s="1">
        <v>43921</v>
      </c>
      <c r="F215" s="3">
        <v>2365.2999999999997</v>
      </c>
    </row>
    <row r="216" spans="1:6" x14ac:dyDescent="0.45">
      <c r="A216" t="s">
        <v>22</v>
      </c>
      <c r="B216" t="s">
        <v>12</v>
      </c>
      <c r="C216" t="s">
        <v>29</v>
      </c>
      <c r="D216" t="s">
        <v>7</v>
      </c>
      <c r="E216" s="1">
        <v>43922</v>
      </c>
      <c r="F216" s="3">
        <v>719.91</v>
      </c>
    </row>
    <row r="217" spans="1:6" x14ac:dyDescent="0.45">
      <c r="A217" t="s">
        <v>25</v>
      </c>
      <c r="B217" t="s">
        <v>6</v>
      </c>
      <c r="C217" t="s">
        <v>30</v>
      </c>
      <c r="D217" t="s">
        <v>24</v>
      </c>
      <c r="E217" s="1">
        <v>43922</v>
      </c>
      <c r="F217" s="3">
        <v>3409.5</v>
      </c>
    </row>
    <row r="218" spans="1:6" x14ac:dyDescent="0.45">
      <c r="A218" t="s">
        <v>25</v>
      </c>
      <c r="B218" t="s">
        <v>9</v>
      </c>
      <c r="C218" t="s">
        <v>32</v>
      </c>
      <c r="D218" t="s">
        <v>24</v>
      </c>
      <c r="E218" s="1">
        <v>43922</v>
      </c>
      <c r="F218" s="3">
        <v>4432.3499999999995</v>
      </c>
    </row>
    <row r="219" spans="1:6" x14ac:dyDescent="0.45">
      <c r="A219" t="s">
        <v>5</v>
      </c>
      <c r="B219" t="s">
        <v>17</v>
      </c>
      <c r="C219" t="s">
        <v>32</v>
      </c>
      <c r="D219" t="s">
        <v>10</v>
      </c>
      <c r="E219" s="1">
        <v>43923</v>
      </c>
      <c r="F219" s="3">
        <v>5599.6500000000005</v>
      </c>
    </row>
    <row r="220" spans="1:6" x14ac:dyDescent="0.45">
      <c r="A220" t="s">
        <v>25</v>
      </c>
      <c r="B220" t="s">
        <v>6</v>
      </c>
      <c r="C220" t="s">
        <v>30</v>
      </c>
      <c r="D220" t="s">
        <v>24</v>
      </c>
      <c r="E220" s="1">
        <v>43923</v>
      </c>
      <c r="F220" s="3">
        <v>3068.5499999999997</v>
      </c>
    </row>
    <row r="221" spans="1:6" x14ac:dyDescent="0.45">
      <c r="A221" t="s">
        <v>16</v>
      </c>
      <c r="B221" t="s">
        <v>17</v>
      </c>
      <c r="C221" t="s">
        <v>29</v>
      </c>
      <c r="D221" t="s">
        <v>7</v>
      </c>
      <c r="E221" s="1">
        <v>43923</v>
      </c>
      <c r="F221" s="3">
        <v>9599.4000000000015</v>
      </c>
    </row>
    <row r="222" spans="1:6" x14ac:dyDescent="0.45">
      <c r="A222" t="s">
        <v>25</v>
      </c>
      <c r="B222" t="s">
        <v>6</v>
      </c>
      <c r="C222" t="s">
        <v>30</v>
      </c>
      <c r="D222" t="s">
        <v>21</v>
      </c>
      <c r="E222" s="1">
        <v>43923</v>
      </c>
      <c r="F222" s="3">
        <v>1363.8</v>
      </c>
    </row>
    <row r="223" spans="1:6" x14ac:dyDescent="0.45">
      <c r="A223" t="s">
        <v>26</v>
      </c>
      <c r="B223" t="s">
        <v>9</v>
      </c>
      <c r="C223" t="s">
        <v>30</v>
      </c>
      <c r="D223" t="s">
        <v>13</v>
      </c>
      <c r="E223" s="1">
        <v>43924</v>
      </c>
      <c r="F223" s="3">
        <v>2045.6999999999998</v>
      </c>
    </row>
    <row r="224" spans="1:6" x14ac:dyDescent="0.45">
      <c r="A224" t="s">
        <v>22</v>
      </c>
      <c r="B224" t="s">
        <v>12</v>
      </c>
      <c r="C224" t="s">
        <v>29</v>
      </c>
      <c r="D224" t="s">
        <v>10</v>
      </c>
      <c r="E224" s="1">
        <v>43925</v>
      </c>
      <c r="F224" s="3">
        <v>479.93999999999994</v>
      </c>
    </row>
    <row r="225" spans="1:6" x14ac:dyDescent="0.45">
      <c r="A225" t="s">
        <v>11</v>
      </c>
      <c r="B225" t="s">
        <v>12</v>
      </c>
      <c r="C225" t="s">
        <v>30</v>
      </c>
      <c r="D225" t="s">
        <v>21</v>
      </c>
      <c r="E225" s="1">
        <v>43925</v>
      </c>
      <c r="F225" s="3">
        <v>159.97999999999999</v>
      </c>
    </row>
    <row r="226" spans="1:6" x14ac:dyDescent="0.45">
      <c r="A226" t="s">
        <v>26</v>
      </c>
      <c r="B226" t="s">
        <v>14</v>
      </c>
      <c r="C226" t="s">
        <v>30</v>
      </c>
      <c r="D226" t="s">
        <v>10</v>
      </c>
      <c r="E226" s="1">
        <v>43925</v>
      </c>
      <c r="F226" s="3">
        <v>2534.25</v>
      </c>
    </row>
    <row r="227" spans="1:6" x14ac:dyDescent="0.45">
      <c r="A227" t="s">
        <v>15</v>
      </c>
      <c r="B227" t="s">
        <v>14</v>
      </c>
      <c r="C227" t="s">
        <v>31</v>
      </c>
      <c r="D227" t="s">
        <v>13</v>
      </c>
      <c r="E227" s="1">
        <v>43926</v>
      </c>
      <c r="F227" s="3">
        <v>2365.2999999999997</v>
      </c>
    </row>
    <row r="228" spans="1:6" x14ac:dyDescent="0.45">
      <c r="A228" t="s">
        <v>11</v>
      </c>
      <c r="B228" t="s">
        <v>9</v>
      </c>
      <c r="C228" t="s">
        <v>30</v>
      </c>
      <c r="D228" t="s">
        <v>21</v>
      </c>
      <c r="E228" s="1">
        <v>43926</v>
      </c>
      <c r="F228" s="3">
        <v>1022.8499999999999</v>
      </c>
    </row>
    <row r="229" spans="1:6" x14ac:dyDescent="0.45">
      <c r="A229" t="s">
        <v>5</v>
      </c>
      <c r="B229" t="s">
        <v>6</v>
      </c>
      <c r="C229" t="s">
        <v>32</v>
      </c>
      <c r="D229" t="s">
        <v>24</v>
      </c>
      <c r="E229" s="1">
        <v>43927</v>
      </c>
      <c r="F229" s="3">
        <v>1704.75</v>
      </c>
    </row>
    <row r="230" spans="1:6" x14ac:dyDescent="0.45">
      <c r="A230" t="s">
        <v>19</v>
      </c>
      <c r="B230" t="s">
        <v>14</v>
      </c>
      <c r="C230" t="s">
        <v>29</v>
      </c>
      <c r="D230" t="s">
        <v>24</v>
      </c>
      <c r="E230" s="1">
        <v>43928</v>
      </c>
      <c r="F230" s="3">
        <v>1520.55</v>
      </c>
    </row>
    <row r="231" spans="1:6" x14ac:dyDescent="0.45">
      <c r="A231" t="s">
        <v>20</v>
      </c>
      <c r="B231" t="s">
        <v>6</v>
      </c>
      <c r="C231" t="s">
        <v>32</v>
      </c>
      <c r="D231" t="s">
        <v>10</v>
      </c>
      <c r="E231" s="1">
        <v>43929</v>
      </c>
      <c r="F231" s="3">
        <v>1022.8499999999999</v>
      </c>
    </row>
    <row r="232" spans="1:6" x14ac:dyDescent="0.45">
      <c r="A232" t="s">
        <v>5</v>
      </c>
      <c r="B232" t="s">
        <v>9</v>
      </c>
      <c r="C232" t="s">
        <v>32</v>
      </c>
      <c r="D232" t="s">
        <v>13</v>
      </c>
      <c r="E232" s="1">
        <v>43929</v>
      </c>
      <c r="F232" s="3">
        <v>1363.8</v>
      </c>
    </row>
    <row r="233" spans="1:6" x14ac:dyDescent="0.45">
      <c r="A233" t="s">
        <v>15</v>
      </c>
      <c r="B233" t="s">
        <v>6</v>
      </c>
      <c r="C233" t="s">
        <v>31</v>
      </c>
      <c r="D233" t="s">
        <v>21</v>
      </c>
      <c r="E233" s="1">
        <v>43929</v>
      </c>
      <c r="F233" s="3">
        <v>3409.5</v>
      </c>
    </row>
    <row r="234" spans="1:6" x14ac:dyDescent="0.45">
      <c r="A234" t="s">
        <v>22</v>
      </c>
      <c r="B234" t="s">
        <v>9</v>
      </c>
      <c r="C234" t="s">
        <v>29</v>
      </c>
      <c r="D234" t="s">
        <v>21</v>
      </c>
      <c r="E234" s="1">
        <v>43929</v>
      </c>
      <c r="F234" s="3">
        <v>3409.5</v>
      </c>
    </row>
    <row r="235" spans="1:6" x14ac:dyDescent="0.45">
      <c r="A235" t="s">
        <v>20</v>
      </c>
      <c r="B235" t="s">
        <v>9</v>
      </c>
      <c r="C235" t="s">
        <v>32</v>
      </c>
      <c r="D235" t="s">
        <v>7</v>
      </c>
      <c r="E235" s="1">
        <v>43930</v>
      </c>
      <c r="F235" s="3">
        <v>6137.0999999999995</v>
      </c>
    </row>
    <row r="236" spans="1:6" x14ac:dyDescent="0.45">
      <c r="A236" t="s">
        <v>18</v>
      </c>
      <c r="B236" t="s">
        <v>14</v>
      </c>
      <c r="C236" t="s">
        <v>32</v>
      </c>
      <c r="D236" t="s">
        <v>21</v>
      </c>
      <c r="E236" s="1">
        <v>43930</v>
      </c>
      <c r="F236" s="3">
        <v>2196.35</v>
      </c>
    </row>
    <row r="237" spans="1:6" x14ac:dyDescent="0.45">
      <c r="A237" t="s">
        <v>22</v>
      </c>
      <c r="B237" t="s">
        <v>9</v>
      </c>
      <c r="C237" t="s">
        <v>29</v>
      </c>
      <c r="D237" t="s">
        <v>10</v>
      </c>
      <c r="E237" s="1">
        <v>43930</v>
      </c>
      <c r="F237" s="3">
        <v>3750.45</v>
      </c>
    </row>
    <row r="238" spans="1:6" x14ac:dyDescent="0.45">
      <c r="A238" t="s">
        <v>23</v>
      </c>
      <c r="B238" t="s">
        <v>12</v>
      </c>
      <c r="C238" t="s">
        <v>29</v>
      </c>
      <c r="D238" t="s">
        <v>10</v>
      </c>
      <c r="E238" s="1">
        <v>43930</v>
      </c>
      <c r="F238" s="3">
        <v>1039.8699999999999</v>
      </c>
    </row>
    <row r="239" spans="1:6" x14ac:dyDescent="0.45">
      <c r="A239" t="s">
        <v>11</v>
      </c>
      <c r="B239" t="s">
        <v>9</v>
      </c>
      <c r="C239" t="s">
        <v>30</v>
      </c>
      <c r="D239" t="s">
        <v>24</v>
      </c>
      <c r="E239" s="1">
        <v>43930</v>
      </c>
      <c r="F239" s="3">
        <v>2045.6999999999998</v>
      </c>
    </row>
    <row r="240" spans="1:6" x14ac:dyDescent="0.45">
      <c r="A240" t="s">
        <v>23</v>
      </c>
      <c r="B240" t="s">
        <v>9</v>
      </c>
      <c r="C240" t="s">
        <v>29</v>
      </c>
      <c r="D240" t="s">
        <v>24</v>
      </c>
      <c r="E240" s="1">
        <v>43930</v>
      </c>
      <c r="F240" s="3">
        <v>681.9</v>
      </c>
    </row>
    <row r="241" spans="1:6" x14ac:dyDescent="0.45">
      <c r="A241" t="s">
        <v>5</v>
      </c>
      <c r="B241" t="s">
        <v>6</v>
      </c>
      <c r="C241" t="s">
        <v>32</v>
      </c>
      <c r="D241" t="s">
        <v>10</v>
      </c>
      <c r="E241" s="1">
        <v>43930</v>
      </c>
      <c r="F241" s="3">
        <v>1363.8</v>
      </c>
    </row>
    <row r="242" spans="1:6" x14ac:dyDescent="0.45">
      <c r="A242" t="s">
        <v>20</v>
      </c>
      <c r="B242" t="s">
        <v>12</v>
      </c>
      <c r="C242" t="s">
        <v>32</v>
      </c>
      <c r="D242" t="s">
        <v>13</v>
      </c>
      <c r="E242" s="1">
        <v>43931</v>
      </c>
      <c r="F242" s="3">
        <v>1039.8699999999999</v>
      </c>
    </row>
    <row r="243" spans="1:6" x14ac:dyDescent="0.45">
      <c r="A243" t="s">
        <v>25</v>
      </c>
      <c r="B243" t="s">
        <v>9</v>
      </c>
      <c r="C243" t="s">
        <v>32</v>
      </c>
      <c r="D243" t="s">
        <v>21</v>
      </c>
      <c r="E243" s="1">
        <v>43931</v>
      </c>
      <c r="F243" s="3">
        <v>2045.6999999999998</v>
      </c>
    </row>
    <row r="244" spans="1:6" x14ac:dyDescent="0.45">
      <c r="A244" t="s">
        <v>5</v>
      </c>
      <c r="B244" t="s">
        <v>9</v>
      </c>
      <c r="C244" t="s">
        <v>32</v>
      </c>
      <c r="D244" t="s">
        <v>10</v>
      </c>
      <c r="E244" s="1">
        <v>43931</v>
      </c>
      <c r="F244" s="3">
        <v>2045.6999999999998</v>
      </c>
    </row>
    <row r="245" spans="1:6" x14ac:dyDescent="0.45">
      <c r="A245" t="s">
        <v>15</v>
      </c>
      <c r="B245" t="s">
        <v>14</v>
      </c>
      <c r="C245" t="s">
        <v>31</v>
      </c>
      <c r="D245" t="s">
        <v>10</v>
      </c>
      <c r="E245" s="1">
        <v>43932</v>
      </c>
      <c r="F245" s="3">
        <v>506.84999999999997</v>
      </c>
    </row>
    <row r="246" spans="1:6" x14ac:dyDescent="0.45">
      <c r="A246" t="s">
        <v>26</v>
      </c>
      <c r="B246" t="s">
        <v>9</v>
      </c>
      <c r="C246" t="s">
        <v>30</v>
      </c>
      <c r="D246" t="s">
        <v>13</v>
      </c>
      <c r="E246" s="1">
        <v>43933</v>
      </c>
      <c r="F246" s="3">
        <v>2386.65</v>
      </c>
    </row>
    <row r="247" spans="1:6" x14ac:dyDescent="0.45">
      <c r="A247" t="s">
        <v>19</v>
      </c>
      <c r="B247" t="s">
        <v>14</v>
      </c>
      <c r="C247" t="s">
        <v>29</v>
      </c>
      <c r="D247" t="s">
        <v>7</v>
      </c>
      <c r="E247" s="1">
        <v>43933</v>
      </c>
      <c r="F247" s="3">
        <v>1351.6</v>
      </c>
    </row>
    <row r="248" spans="1:6" x14ac:dyDescent="0.45">
      <c r="A248" t="s">
        <v>16</v>
      </c>
      <c r="B248" t="s">
        <v>9</v>
      </c>
      <c r="C248" t="s">
        <v>29</v>
      </c>
      <c r="D248" t="s">
        <v>7</v>
      </c>
      <c r="E248" s="1">
        <v>43933</v>
      </c>
      <c r="F248" s="3">
        <v>5114.25</v>
      </c>
    </row>
    <row r="249" spans="1:6" x14ac:dyDescent="0.45">
      <c r="A249" t="s">
        <v>19</v>
      </c>
      <c r="B249" t="s">
        <v>6</v>
      </c>
      <c r="C249" t="s">
        <v>29</v>
      </c>
      <c r="D249" t="s">
        <v>10</v>
      </c>
      <c r="E249" s="1">
        <v>43933</v>
      </c>
      <c r="F249" s="3">
        <v>1363.8</v>
      </c>
    </row>
    <row r="250" spans="1:6" x14ac:dyDescent="0.45">
      <c r="A250" t="s">
        <v>20</v>
      </c>
      <c r="B250" t="s">
        <v>14</v>
      </c>
      <c r="C250" t="s">
        <v>32</v>
      </c>
      <c r="D250" t="s">
        <v>21</v>
      </c>
      <c r="E250" s="1">
        <v>43934</v>
      </c>
      <c r="F250" s="3">
        <v>1689.5</v>
      </c>
    </row>
    <row r="251" spans="1:6" x14ac:dyDescent="0.45">
      <c r="A251" t="s">
        <v>11</v>
      </c>
      <c r="B251" t="s">
        <v>9</v>
      </c>
      <c r="C251" t="s">
        <v>30</v>
      </c>
      <c r="D251" t="s">
        <v>10</v>
      </c>
      <c r="E251" s="1">
        <v>43934</v>
      </c>
      <c r="F251" s="3">
        <v>4773.3</v>
      </c>
    </row>
    <row r="252" spans="1:6" x14ac:dyDescent="0.45">
      <c r="A252" t="s">
        <v>25</v>
      </c>
      <c r="B252" t="s">
        <v>6</v>
      </c>
      <c r="C252" t="s">
        <v>30</v>
      </c>
      <c r="D252" t="s">
        <v>24</v>
      </c>
      <c r="E252" s="1">
        <v>43934</v>
      </c>
      <c r="F252" s="3">
        <v>2727.6</v>
      </c>
    </row>
    <row r="253" spans="1:6" x14ac:dyDescent="0.45">
      <c r="A253" t="s">
        <v>22</v>
      </c>
      <c r="B253" t="s">
        <v>17</v>
      </c>
      <c r="C253" t="s">
        <v>29</v>
      </c>
      <c r="D253" t="s">
        <v>10</v>
      </c>
      <c r="E253" s="1">
        <v>43936</v>
      </c>
      <c r="F253" s="3">
        <v>3199.8</v>
      </c>
    </row>
    <row r="254" spans="1:6" x14ac:dyDescent="0.45">
      <c r="A254" t="s">
        <v>5</v>
      </c>
      <c r="B254" t="s">
        <v>9</v>
      </c>
      <c r="C254" t="s">
        <v>32</v>
      </c>
      <c r="D254" t="s">
        <v>10</v>
      </c>
      <c r="E254" s="1">
        <v>43936</v>
      </c>
      <c r="F254" s="3">
        <v>1363.8</v>
      </c>
    </row>
    <row r="255" spans="1:6" x14ac:dyDescent="0.45">
      <c r="A255" t="s">
        <v>5</v>
      </c>
      <c r="B255" t="s">
        <v>9</v>
      </c>
      <c r="C255" t="s">
        <v>32</v>
      </c>
      <c r="D255" t="s">
        <v>21</v>
      </c>
      <c r="E255" s="1">
        <v>43936</v>
      </c>
      <c r="F255" s="3">
        <v>4091.3999999999996</v>
      </c>
    </row>
    <row r="256" spans="1:6" x14ac:dyDescent="0.45">
      <c r="A256" t="s">
        <v>23</v>
      </c>
      <c r="B256" t="s">
        <v>9</v>
      </c>
      <c r="C256" t="s">
        <v>29</v>
      </c>
      <c r="D256" t="s">
        <v>13</v>
      </c>
      <c r="E256" s="1">
        <v>43937</v>
      </c>
      <c r="F256" s="3">
        <v>2045.6999999999998</v>
      </c>
    </row>
    <row r="257" spans="1:6" x14ac:dyDescent="0.45">
      <c r="A257" t="s">
        <v>11</v>
      </c>
      <c r="B257" t="s">
        <v>17</v>
      </c>
      <c r="C257" t="s">
        <v>30</v>
      </c>
      <c r="D257" t="s">
        <v>7</v>
      </c>
      <c r="E257" s="1">
        <v>43937</v>
      </c>
      <c r="F257" s="3">
        <v>5599.6500000000005</v>
      </c>
    </row>
    <row r="258" spans="1:6" x14ac:dyDescent="0.45">
      <c r="A258" t="s">
        <v>23</v>
      </c>
      <c r="B258" t="s">
        <v>14</v>
      </c>
      <c r="C258" t="s">
        <v>29</v>
      </c>
      <c r="D258" t="s">
        <v>24</v>
      </c>
      <c r="E258" s="1">
        <v>43937</v>
      </c>
      <c r="F258" s="3">
        <v>2027.3999999999999</v>
      </c>
    </row>
    <row r="259" spans="1:6" x14ac:dyDescent="0.45">
      <c r="A259" t="s">
        <v>16</v>
      </c>
      <c r="B259" t="s">
        <v>17</v>
      </c>
      <c r="C259" t="s">
        <v>29</v>
      </c>
      <c r="D259" t="s">
        <v>24</v>
      </c>
      <c r="E259" s="1">
        <v>43937</v>
      </c>
      <c r="F259" s="3">
        <v>7199.55</v>
      </c>
    </row>
    <row r="260" spans="1:6" x14ac:dyDescent="0.45">
      <c r="A260" t="s">
        <v>25</v>
      </c>
      <c r="B260" t="s">
        <v>12</v>
      </c>
      <c r="C260" t="s">
        <v>32</v>
      </c>
      <c r="D260" t="s">
        <v>7</v>
      </c>
      <c r="E260" s="1">
        <v>43939</v>
      </c>
      <c r="F260" s="3">
        <v>959.87999999999988</v>
      </c>
    </row>
    <row r="261" spans="1:6" x14ac:dyDescent="0.45">
      <c r="A261" t="s">
        <v>25</v>
      </c>
      <c r="B261" t="s">
        <v>12</v>
      </c>
      <c r="C261" t="s">
        <v>32</v>
      </c>
      <c r="D261" t="s">
        <v>24</v>
      </c>
      <c r="E261" s="1">
        <v>43939</v>
      </c>
      <c r="F261" s="3">
        <v>959.87999999999988</v>
      </c>
    </row>
    <row r="262" spans="1:6" x14ac:dyDescent="0.45">
      <c r="A262" t="s">
        <v>11</v>
      </c>
      <c r="B262" t="s">
        <v>6</v>
      </c>
      <c r="C262" t="s">
        <v>30</v>
      </c>
      <c r="D262" t="s">
        <v>10</v>
      </c>
      <c r="E262" s="1">
        <v>43939</v>
      </c>
      <c r="F262" s="3">
        <v>4091.3999999999996</v>
      </c>
    </row>
    <row r="263" spans="1:6" x14ac:dyDescent="0.45">
      <c r="A263" t="s">
        <v>22</v>
      </c>
      <c r="B263" t="s">
        <v>17</v>
      </c>
      <c r="C263" t="s">
        <v>29</v>
      </c>
      <c r="D263" t="s">
        <v>10</v>
      </c>
      <c r="E263" s="1">
        <v>43939</v>
      </c>
      <c r="F263" s="3">
        <v>10399.35</v>
      </c>
    </row>
    <row r="264" spans="1:6" x14ac:dyDescent="0.45">
      <c r="A264" t="s">
        <v>23</v>
      </c>
      <c r="B264" t="s">
        <v>12</v>
      </c>
      <c r="C264" t="s">
        <v>29</v>
      </c>
      <c r="D264" t="s">
        <v>10</v>
      </c>
      <c r="E264" s="1">
        <v>43939</v>
      </c>
      <c r="F264" s="3">
        <v>559.92999999999995</v>
      </c>
    </row>
    <row r="265" spans="1:6" x14ac:dyDescent="0.45">
      <c r="A265" t="s">
        <v>20</v>
      </c>
      <c r="B265" t="s">
        <v>12</v>
      </c>
      <c r="C265" t="s">
        <v>32</v>
      </c>
      <c r="D265" t="s">
        <v>21</v>
      </c>
      <c r="E265" s="1">
        <v>43940</v>
      </c>
      <c r="F265" s="3">
        <v>639.91999999999996</v>
      </c>
    </row>
    <row r="266" spans="1:6" x14ac:dyDescent="0.45">
      <c r="A266" t="s">
        <v>18</v>
      </c>
      <c r="B266" t="s">
        <v>9</v>
      </c>
      <c r="C266" t="s">
        <v>32</v>
      </c>
      <c r="D266" t="s">
        <v>10</v>
      </c>
      <c r="E266" s="1">
        <v>43941</v>
      </c>
      <c r="F266" s="3">
        <v>1704.75</v>
      </c>
    </row>
    <row r="267" spans="1:6" x14ac:dyDescent="0.45">
      <c r="A267" t="s">
        <v>22</v>
      </c>
      <c r="B267" t="s">
        <v>17</v>
      </c>
      <c r="C267" t="s">
        <v>29</v>
      </c>
      <c r="D267" t="s">
        <v>10</v>
      </c>
      <c r="E267" s="1">
        <v>43943</v>
      </c>
      <c r="F267" s="3">
        <v>6399.6</v>
      </c>
    </row>
    <row r="268" spans="1:6" x14ac:dyDescent="0.45">
      <c r="A268" t="s">
        <v>19</v>
      </c>
      <c r="B268" t="s">
        <v>14</v>
      </c>
      <c r="C268" t="s">
        <v>29</v>
      </c>
      <c r="D268" t="s">
        <v>13</v>
      </c>
      <c r="E268" s="1">
        <v>43943</v>
      </c>
      <c r="F268" s="3">
        <v>168.95</v>
      </c>
    </row>
    <row r="269" spans="1:6" x14ac:dyDescent="0.45">
      <c r="A269" t="s">
        <v>18</v>
      </c>
      <c r="B269" t="s">
        <v>12</v>
      </c>
      <c r="C269" t="s">
        <v>32</v>
      </c>
      <c r="D269" t="s">
        <v>7</v>
      </c>
      <c r="E269" s="1">
        <v>43943</v>
      </c>
      <c r="F269" s="3">
        <v>559.92999999999995</v>
      </c>
    </row>
    <row r="270" spans="1:6" x14ac:dyDescent="0.45">
      <c r="A270" t="s">
        <v>23</v>
      </c>
      <c r="B270" t="s">
        <v>9</v>
      </c>
      <c r="C270" t="s">
        <v>29</v>
      </c>
      <c r="D270" t="s">
        <v>13</v>
      </c>
      <c r="E270" s="1">
        <v>43944</v>
      </c>
      <c r="F270" s="3">
        <v>681.9</v>
      </c>
    </row>
    <row r="271" spans="1:6" x14ac:dyDescent="0.45">
      <c r="A271" t="s">
        <v>22</v>
      </c>
      <c r="B271" t="s">
        <v>12</v>
      </c>
      <c r="C271" t="s">
        <v>29</v>
      </c>
      <c r="D271" t="s">
        <v>7</v>
      </c>
      <c r="E271" s="1">
        <v>43944</v>
      </c>
      <c r="F271" s="3">
        <v>879.89</v>
      </c>
    </row>
    <row r="272" spans="1:6" x14ac:dyDescent="0.45">
      <c r="A272" t="s">
        <v>25</v>
      </c>
      <c r="B272" t="s">
        <v>9</v>
      </c>
      <c r="C272" t="s">
        <v>32</v>
      </c>
      <c r="D272" t="s">
        <v>21</v>
      </c>
      <c r="E272" s="1">
        <v>43944</v>
      </c>
      <c r="F272" s="3">
        <v>340.95</v>
      </c>
    </row>
    <row r="273" spans="1:6" x14ac:dyDescent="0.45">
      <c r="A273" t="s">
        <v>16</v>
      </c>
      <c r="B273" t="s">
        <v>14</v>
      </c>
      <c r="C273" t="s">
        <v>29</v>
      </c>
      <c r="D273" t="s">
        <v>21</v>
      </c>
      <c r="E273" s="1">
        <v>43944</v>
      </c>
      <c r="F273" s="3">
        <v>2027.3999999999999</v>
      </c>
    </row>
    <row r="274" spans="1:6" x14ac:dyDescent="0.45">
      <c r="A274" t="s">
        <v>18</v>
      </c>
      <c r="B274" t="s">
        <v>17</v>
      </c>
      <c r="C274" t="s">
        <v>32</v>
      </c>
      <c r="D274" t="s">
        <v>24</v>
      </c>
      <c r="E274" s="1">
        <v>43944</v>
      </c>
      <c r="F274" s="3">
        <v>3999.75</v>
      </c>
    </row>
    <row r="275" spans="1:6" x14ac:dyDescent="0.45">
      <c r="A275" t="s">
        <v>11</v>
      </c>
      <c r="B275" t="s">
        <v>14</v>
      </c>
      <c r="C275" t="s">
        <v>30</v>
      </c>
      <c r="D275" t="s">
        <v>24</v>
      </c>
      <c r="E275" s="1">
        <v>43945</v>
      </c>
      <c r="F275" s="3">
        <v>2027.3999999999999</v>
      </c>
    </row>
    <row r="276" spans="1:6" x14ac:dyDescent="0.45">
      <c r="A276" t="s">
        <v>26</v>
      </c>
      <c r="B276" t="s">
        <v>9</v>
      </c>
      <c r="C276" t="s">
        <v>30</v>
      </c>
      <c r="D276" t="s">
        <v>21</v>
      </c>
      <c r="E276" s="1">
        <v>43945</v>
      </c>
      <c r="F276" s="3">
        <v>681.9</v>
      </c>
    </row>
    <row r="277" spans="1:6" x14ac:dyDescent="0.45">
      <c r="A277" t="s">
        <v>22</v>
      </c>
      <c r="B277" t="s">
        <v>6</v>
      </c>
      <c r="C277" t="s">
        <v>29</v>
      </c>
      <c r="D277" t="s">
        <v>13</v>
      </c>
      <c r="E277" s="1">
        <v>43946</v>
      </c>
      <c r="F277" s="3">
        <v>2727.6</v>
      </c>
    </row>
    <row r="278" spans="1:6" x14ac:dyDescent="0.45">
      <c r="A278" t="s">
        <v>25</v>
      </c>
      <c r="B278" t="s">
        <v>12</v>
      </c>
      <c r="C278" t="s">
        <v>32</v>
      </c>
      <c r="D278" t="s">
        <v>7</v>
      </c>
      <c r="E278" s="1">
        <v>43946</v>
      </c>
      <c r="F278" s="3">
        <v>799.9</v>
      </c>
    </row>
    <row r="279" spans="1:6" x14ac:dyDescent="0.45">
      <c r="A279" t="s">
        <v>18</v>
      </c>
      <c r="B279" t="s">
        <v>9</v>
      </c>
      <c r="C279" t="s">
        <v>32</v>
      </c>
      <c r="D279" t="s">
        <v>21</v>
      </c>
      <c r="E279" s="1">
        <v>43946</v>
      </c>
      <c r="F279" s="3">
        <v>1363.8</v>
      </c>
    </row>
    <row r="280" spans="1:6" x14ac:dyDescent="0.45">
      <c r="A280" t="s">
        <v>22</v>
      </c>
      <c r="B280" t="s">
        <v>12</v>
      </c>
      <c r="C280" t="s">
        <v>29</v>
      </c>
      <c r="D280" t="s">
        <v>10</v>
      </c>
      <c r="E280" s="1">
        <v>43946</v>
      </c>
      <c r="F280" s="3">
        <v>559.92999999999995</v>
      </c>
    </row>
    <row r="281" spans="1:6" x14ac:dyDescent="0.45">
      <c r="A281" t="s">
        <v>5</v>
      </c>
      <c r="B281" t="s">
        <v>9</v>
      </c>
      <c r="C281" t="s">
        <v>32</v>
      </c>
      <c r="D281" t="s">
        <v>24</v>
      </c>
      <c r="E281" s="1">
        <v>43946</v>
      </c>
      <c r="F281" s="3">
        <v>2386.65</v>
      </c>
    </row>
    <row r="282" spans="1:6" x14ac:dyDescent="0.45">
      <c r="A282" t="s">
        <v>26</v>
      </c>
      <c r="B282" t="s">
        <v>17</v>
      </c>
      <c r="C282" t="s">
        <v>30</v>
      </c>
      <c r="D282" t="s">
        <v>10</v>
      </c>
      <c r="E282" s="1">
        <v>43946</v>
      </c>
      <c r="F282" s="3">
        <v>11199.300000000001</v>
      </c>
    </row>
    <row r="283" spans="1:6" x14ac:dyDescent="0.45">
      <c r="A283" t="s">
        <v>22</v>
      </c>
      <c r="B283" t="s">
        <v>17</v>
      </c>
      <c r="C283" t="s">
        <v>29</v>
      </c>
      <c r="D283" t="s">
        <v>7</v>
      </c>
      <c r="E283" s="1">
        <v>43947</v>
      </c>
      <c r="F283" s="3">
        <v>12799.2</v>
      </c>
    </row>
    <row r="284" spans="1:6" x14ac:dyDescent="0.45">
      <c r="A284" t="s">
        <v>8</v>
      </c>
      <c r="B284" t="s">
        <v>12</v>
      </c>
      <c r="C284" t="s">
        <v>31</v>
      </c>
      <c r="D284" t="s">
        <v>10</v>
      </c>
      <c r="E284" s="1">
        <v>43947</v>
      </c>
      <c r="F284" s="3">
        <v>719.91</v>
      </c>
    </row>
    <row r="285" spans="1:6" x14ac:dyDescent="0.45">
      <c r="A285" t="s">
        <v>5</v>
      </c>
      <c r="B285" t="s">
        <v>17</v>
      </c>
      <c r="C285" t="s">
        <v>32</v>
      </c>
      <c r="D285" t="s">
        <v>21</v>
      </c>
      <c r="E285" s="1">
        <v>43949</v>
      </c>
      <c r="F285" s="3">
        <v>7999.5</v>
      </c>
    </row>
    <row r="286" spans="1:6" x14ac:dyDescent="0.45">
      <c r="A286" t="s">
        <v>16</v>
      </c>
      <c r="B286" t="s">
        <v>17</v>
      </c>
      <c r="C286" t="s">
        <v>29</v>
      </c>
      <c r="D286" t="s">
        <v>24</v>
      </c>
      <c r="E286" s="1">
        <v>43950</v>
      </c>
      <c r="F286" s="3">
        <v>6399.6</v>
      </c>
    </row>
    <row r="287" spans="1:6" x14ac:dyDescent="0.45">
      <c r="A287" t="s">
        <v>8</v>
      </c>
      <c r="B287" t="s">
        <v>17</v>
      </c>
      <c r="C287" t="s">
        <v>31</v>
      </c>
      <c r="D287" t="s">
        <v>13</v>
      </c>
      <c r="E287" s="1">
        <v>43950</v>
      </c>
      <c r="F287" s="3">
        <v>6399.6</v>
      </c>
    </row>
    <row r="288" spans="1:6" x14ac:dyDescent="0.45">
      <c r="A288" t="s">
        <v>18</v>
      </c>
      <c r="B288" t="s">
        <v>17</v>
      </c>
      <c r="C288" t="s">
        <v>32</v>
      </c>
      <c r="D288" t="s">
        <v>21</v>
      </c>
      <c r="E288" s="1">
        <v>43951</v>
      </c>
      <c r="F288" s="3">
        <v>1599.9</v>
      </c>
    </row>
    <row r="289" spans="1:6" x14ac:dyDescent="0.45">
      <c r="A289" t="s">
        <v>16</v>
      </c>
      <c r="B289" t="s">
        <v>9</v>
      </c>
      <c r="C289" t="s">
        <v>29</v>
      </c>
      <c r="D289" t="s">
        <v>21</v>
      </c>
      <c r="E289" s="1">
        <v>43951</v>
      </c>
      <c r="F289" s="3">
        <v>3750.45</v>
      </c>
    </row>
    <row r="290" spans="1:6" x14ac:dyDescent="0.45">
      <c r="A290" t="s">
        <v>11</v>
      </c>
      <c r="B290" t="s">
        <v>17</v>
      </c>
      <c r="C290" t="s">
        <v>30</v>
      </c>
      <c r="D290" t="s">
        <v>7</v>
      </c>
      <c r="E290" s="1">
        <v>43951</v>
      </c>
      <c r="F290" s="3">
        <v>8799.4500000000007</v>
      </c>
    </row>
    <row r="291" spans="1:6" x14ac:dyDescent="0.45">
      <c r="A291" t="s">
        <v>22</v>
      </c>
      <c r="B291" t="s">
        <v>12</v>
      </c>
      <c r="C291" t="s">
        <v>29</v>
      </c>
      <c r="D291" t="s">
        <v>10</v>
      </c>
      <c r="E291" s="1">
        <v>43951</v>
      </c>
      <c r="F291" s="3">
        <v>479.93999999999994</v>
      </c>
    </row>
    <row r="292" spans="1:6" x14ac:dyDescent="0.45">
      <c r="A292" t="s">
        <v>5</v>
      </c>
      <c r="B292" t="s">
        <v>6</v>
      </c>
      <c r="C292" t="s">
        <v>32</v>
      </c>
      <c r="D292" t="s">
        <v>13</v>
      </c>
      <c r="E292" s="1">
        <v>43952</v>
      </c>
      <c r="F292" s="3">
        <v>2727.6</v>
      </c>
    </row>
    <row r="293" spans="1:6" x14ac:dyDescent="0.45">
      <c r="A293" t="s">
        <v>16</v>
      </c>
      <c r="B293" t="s">
        <v>14</v>
      </c>
      <c r="C293" t="s">
        <v>29</v>
      </c>
      <c r="D293" t="s">
        <v>24</v>
      </c>
      <c r="E293" s="1">
        <v>43952</v>
      </c>
      <c r="F293" s="3">
        <v>2027.3999999999999</v>
      </c>
    </row>
    <row r="294" spans="1:6" x14ac:dyDescent="0.45">
      <c r="A294" t="s">
        <v>8</v>
      </c>
      <c r="B294" t="s">
        <v>17</v>
      </c>
      <c r="C294" t="s">
        <v>31</v>
      </c>
      <c r="D294" t="s">
        <v>24</v>
      </c>
      <c r="E294" s="1">
        <v>43952</v>
      </c>
      <c r="F294" s="3">
        <v>7199.55</v>
      </c>
    </row>
    <row r="295" spans="1:6" x14ac:dyDescent="0.45">
      <c r="A295" t="s">
        <v>8</v>
      </c>
      <c r="B295" t="s">
        <v>12</v>
      </c>
      <c r="C295" t="s">
        <v>31</v>
      </c>
      <c r="D295" t="s">
        <v>21</v>
      </c>
      <c r="E295" s="1">
        <v>43953</v>
      </c>
      <c r="F295" s="3">
        <v>79.989999999999995</v>
      </c>
    </row>
    <row r="296" spans="1:6" x14ac:dyDescent="0.45">
      <c r="A296" t="s">
        <v>25</v>
      </c>
      <c r="B296" t="s">
        <v>9</v>
      </c>
      <c r="C296" t="s">
        <v>32</v>
      </c>
      <c r="D296" t="s">
        <v>10</v>
      </c>
      <c r="E296" s="1">
        <v>43953</v>
      </c>
      <c r="F296" s="3">
        <v>1363.8</v>
      </c>
    </row>
    <row r="297" spans="1:6" x14ac:dyDescent="0.45">
      <c r="A297" t="s">
        <v>26</v>
      </c>
      <c r="B297" t="s">
        <v>17</v>
      </c>
      <c r="C297" t="s">
        <v>30</v>
      </c>
      <c r="D297" t="s">
        <v>7</v>
      </c>
      <c r="E297" s="1">
        <v>43954</v>
      </c>
      <c r="F297" s="3">
        <v>15999</v>
      </c>
    </row>
    <row r="298" spans="1:6" x14ac:dyDescent="0.45">
      <c r="A298" t="s">
        <v>19</v>
      </c>
      <c r="B298" t="s">
        <v>14</v>
      </c>
      <c r="C298" t="s">
        <v>29</v>
      </c>
      <c r="D298" t="s">
        <v>24</v>
      </c>
      <c r="E298" s="1">
        <v>43954</v>
      </c>
      <c r="F298" s="3">
        <v>168.95</v>
      </c>
    </row>
    <row r="299" spans="1:6" x14ac:dyDescent="0.45">
      <c r="A299" t="s">
        <v>26</v>
      </c>
      <c r="B299" t="s">
        <v>6</v>
      </c>
      <c r="C299" t="s">
        <v>30</v>
      </c>
      <c r="D299" t="s">
        <v>13</v>
      </c>
      <c r="E299" s="1">
        <v>43956</v>
      </c>
      <c r="F299" s="3">
        <v>3409.5</v>
      </c>
    </row>
    <row r="300" spans="1:6" x14ac:dyDescent="0.45">
      <c r="A300" t="s">
        <v>25</v>
      </c>
      <c r="B300" t="s">
        <v>6</v>
      </c>
      <c r="C300" t="s">
        <v>30</v>
      </c>
      <c r="D300" t="s">
        <v>10</v>
      </c>
      <c r="E300" s="1">
        <v>43956</v>
      </c>
      <c r="F300" s="3">
        <v>340.95</v>
      </c>
    </row>
    <row r="301" spans="1:6" x14ac:dyDescent="0.45">
      <c r="A301" t="s">
        <v>23</v>
      </c>
      <c r="B301" t="s">
        <v>14</v>
      </c>
      <c r="C301" t="s">
        <v>29</v>
      </c>
      <c r="D301" t="s">
        <v>13</v>
      </c>
      <c r="E301" s="1">
        <v>43957</v>
      </c>
      <c r="F301" s="3">
        <v>1182.6499999999999</v>
      </c>
    </row>
    <row r="302" spans="1:6" x14ac:dyDescent="0.45">
      <c r="A302" t="s">
        <v>22</v>
      </c>
      <c r="B302" t="s">
        <v>12</v>
      </c>
      <c r="C302" t="s">
        <v>29</v>
      </c>
      <c r="D302" t="s">
        <v>21</v>
      </c>
      <c r="E302" s="1">
        <v>43957</v>
      </c>
      <c r="F302" s="3">
        <v>879.89</v>
      </c>
    </row>
    <row r="303" spans="1:6" x14ac:dyDescent="0.45">
      <c r="A303" t="s">
        <v>25</v>
      </c>
      <c r="B303" t="s">
        <v>6</v>
      </c>
      <c r="C303" t="s">
        <v>30</v>
      </c>
      <c r="D303" t="s">
        <v>24</v>
      </c>
      <c r="E303" s="1">
        <v>43957</v>
      </c>
      <c r="F303" s="3">
        <v>3068.5499999999997</v>
      </c>
    </row>
    <row r="304" spans="1:6" x14ac:dyDescent="0.45">
      <c r="A304" t="s">
        <v>8</v>
      </c>
      <c r="B304" t="s">
        <v>12</v>
      </c>
      <c r="C304" t="s">
        <v>31</v>
      </c>
      <c r="D304" t="s">
        <v>24</v>
      </c>
      <c r="E304" s="1">
        <v>43957</v>
      </c>
      <c r="F304" s="3">
        <v>559.92999999999995</v>
      </c>
    </row>
    <row r="305" spans="1:6" x14ac:dyDescent="0.45">
      <c r="A305" t="s">
        <v>11</v>
      </c>
      <c r="B305" t="s">
        <v>9</v>
      </c>
      <c r="C305" t="s">
        <v>30</v>
      </c>
      <c r="D305" t="s">
        <v>13</v>
      </c>
      <c r="E305" s="1">
        <v>43958</v>
      </c>
      <c r="F305" s="3">
        <v>681.9</v>
      </c>
    </row>
    <row r="306" spans="1:6" x14ac:dyDescent="0.45">
      <c r="A306" t="s">
        <v>22</v>
      </c>
      <c r="B306" t="s">
        <v>14</v>
      </c>
      <c r="C306" t="s">
        <v>29</v>
      </c>
      <c r="D306" t="s">
        <v>21</v>
      </c>
      <c r="E306" s="1">
        <v>43958</v>
      </c>
      <c r="F306" s="3">
        <v>506.84999999999997</v>
      </c>
    </row>
    <row r="307" spans="1:6" x14ac:dyDescent="0.45">
      <c r="A307" t="s">
        <v>23</v>
      </c>
      <c r="B307" t="s">
        <v>17</v>
      </c>
      <c r="C307" t="s">
        <v>29</v>
      </c>
      <c r="D307" t="s">
        <v>24</v>
      </c>
      <c r="E307" s="1">
        <v>43959</v>
      </c>
      <c r="F307" s="3">
        <v>4799.7000000000007</v>
      </c>
    </row>
    <row r="308" spans="1:6" x14ac:dyDescent="0.45">
      <c r="A308" t="s">
        <v>11</v>
      </c>
      <c r="B308" t="s">
        <v>12</v>
      </c>
      <c r="C308" t="s">
        <v>30</v>
      </c>
      <c r="D308" t="s">
        <v>13</v>
      </c>
      <c r="E308" s="1">
        <v>43961</v>
      </c>
      <c r="F308" s="3">
        <v>399.95</v>
      </c>
    </row>
    <row r="309" spans="1:6" x14ac:dyDescent="0.45">
      <c r="A309" t="s">
        <v>5</v>
      </c>
      <c r="B309" t="s">
        <v>6</v>
      </c>
      <c r="C309" t="s">
        <v>32</v>
      </c>
      <c r="D309" t="s">
        <v>13</v>
      </c>
      <c r="E309" s="1">
        <v>43961</v>
      </c>
      <c r="F309" s="3">
        <v>3409.5</v>
      </c>
    </row>
    <row r="310" spans="1:6" x14ac:dyDescent="0.45">
      <c r="A310" t="s">
        <v>26</v>
      </c>
      <c r="B310" t="s">
        <v>12</v>
      </c>
      <c r="C310" t="s">
        <v>30</v>
      </c>
      <c r="D310" t="s">
        <v>7</v>
      </c>
      <c r="E310" s="1">
        <v>43961</v>
      </c>
      <c r="F310" s="3">
        <v>639.91999999999996</v>
      </c>
    </row>
    <row r="311" spans="1:6" x14ac:dyDescent="0.45">
      <c r="A311" t="s">
        <v>15</v>
      </c>
      <c r="B311" t="s">
        <v>6</v>
      </c>
      <c r="C311" t="s">
        <v>31</v>
      </c>
      <c r="D311" t="s">
        <v>21</v>
      </c>
      <c r="E311" s="1">
        <v>43961</v>
      </c>
      <c r="F311" s="3">
        <v>681.9</v>
      </c>
    </row>
    <row r="312" spans="1:6" x14ac:dyDescent="0.45">
      <c r="A312" t="s">
        <v>22</v>
      </c>
      <c r="B312" t="s">
        <v>9</v>
      </c>
      <c r="C312" t="s">
        <v>29</v>
      </c>
      <c r="D312" t="s">
        <v>21</v>
      </c>
      <c r="E312" s="1">
        <v>43961</v>
      </c>
      <c r="F312" s="3">
        <v>2727.6</v>
      </c>
    </row>
    <row r="313" spans="1:6" x14ac:dyDescent="0.45">
      <c r="A313" t="s">
        <v>25</v>
      </c>
      <c r="B313" t="s">
        <v>17</v>
      </c>
      <c r="C313" t="s">
        <v>32</v>
      </c>
      <c r="D313" t="s">
        <v>21</v>
      </c>
      <c r="E313" s="1">
        <v>43962</v>
      </c>
      <c r="F313" s="3">
        <v>4799.7000000000007</v>
      </c>
    </row>
    <row r="314" spans="1:6" x14ac:dyDescent="0.45">
      <c r="A314" t="s">
        <v>8</v>
      </c>
      <c r="B314" t="s">
        <v>9</v>
      </c>
      <c r="C314" t="s">
        <v>31</v>
      </c>
      <c r="D314" t="s">
        <v>21</v>
      </c>
      <c r="E314" s="1">
        <v>43962</v>
      </c>
      <c r="F314" s="3">
        <v>5114.25</v>
      </c>
    </row>
    <row r="315" spans="1:6" x14ac:dyDescent="0.45">
      <c r="A315" t="s">
        <v>26</v>
      </c>
      <c r="B315" t="s">
        <v>14</v>
      </c>
      <c r="C315" t="s">
        <v>30</v>
      </c>
      <c r="D315" t="s">
        <v>21</v>
      </c>
      <c r="E315" s="1">
        <v>43963</v>
      </c>
      <c r="F315" s="3">
        <v>2365.2999999999997</v>
      </c>
    </row>
    <row r="316" spans="1:6" x14ac:dyDescent="0.45">
      <c r="A316" t="s">
        <v>5</v>
      </c>
      <c r="B316" t="s">
        <v>12</v>
      </c>
      <c r="C316" t="s">
        <v>32</v>
      </c>
      <c r="D316" t="s">
        <v>21</v>
      </c>
      <c r="E316" s="1">
        <v>43963</v>
      </c>
      <c r="F316" s="3">
        <v>799.9</v>
      </c>
    </row>
    <row r="317" spans="1:6" x14ac:dyDescent="0.45">
      <c r="A317" t="s">
        <v>5</v>
      </c>
      <c r="B317" t="s">
        <v>9</v>
      </c>
      <c r="C317" t="s">
        <v>32</v>
      </c>
      <c r="D317" t="s">
        <v>10</v>
      </c>
      <c r="E317" s="1">
        <v>43963</v>
      </c>
      <c r="F317" s="3">
        <v>1704.75</v>
      </c>
    </row>
    <row r="318" spans="1:6" x14ac:dyDescent="0.45">
      <c r="A318" t="s">
        <v>11</v>
      </c>
      <c r="B318" t="s">
        <v>17</v>
      </c>
      <c r="C318" t="s">
        <v>30</v>
      </c>
      <c r="D318" t="s">
        <v>13</v>
      </c>
      <c r="E318" s="1">
        <v>43964</v>
      </c>
      <c r="F318" s="3">
        <v>7199.55</v>
      </c>
    </row>
    <row r="319" spans="1:6" x14ac:dyDescent="0.45">
      <c r="A319" t="s">
        <v>18</v>
      </c>
      <c r="B319" t="s">
        <v>12</v>
      </c>
      <c r="C319" t="s">
        <v>32</v>
      </c>
      <c r="D319" t="s">
        <v>21</v>
      </c>
      <c r="E319" s="1">
        <v>43964</v>
      </c>
      <c r="F319" s="3">
        <v>1199.8499999999999</v>
      </c>
    </row>
    <row r="320" spans="1:6" x14ac:dyDescent="0.45">
      <c r="A320" t="s">
        <v>16</v>
      </c>
      <c r="B320" t="s">
        <v>6</v>
      </c>
      <c r="C320" t="s">
        <v>29</v>
      </c>
      <c r="D320" t="s">
        <v>21</v>
      </c>
      <c r="E320" s="1">
        <v>43964</v>
      </c>
      <c r="F320" s="3">
        <v>4091.3999999999996</v>
      </c>
    </row>
    <row r="321" spans="1:6" x14ac:dyDescent="0.45">
      <c r="A321" t="s">
        <v>15</v>
      </c>
      <c r="B321" t="s">
        <v>17</v>
      </c>
      <c r="C321" t="s">
        <v>31</v>
      </c>
      <c r="D321" t="s">
        <v>10</v>
      </c>
      <c r="E321" s="1">
        <v>43965</v>
      </c>
      <c r="F321" s="3">
        <v>7999.5</v>
      </c>
    </row>
    <row r="322" spans="1:6" x14ac:dyDescent="0.45">
      <c r="A322" t="s">
        <v>20</v>
      </c>
      <c r="B322" t="s">
        <v>6</v>
      </c>
      <c r="C322" t="s">
        <v>32</v>
      </c>
      <c r="D322" t="s">
        <v>24</v>
      </c>
      <c r="E322" s="1">
        <v>43965</v>
      </c>
      <c r="F322" s="3">
        <v>3750.45</v>
      </c>
    </row>
    <row r="323" spans="1:6" x14ac:dyDescent="0.45">
      <c r="A323" t="s">
        <v>11</v>
      </c>
      <c r="B323" t="s">
        <v>12</v>
      </c>
      <c r="C323" t="s">
        <v>30</v>
      </c>
      <c r="D323" t="s">
        <v>10</v>
      </c>
      <c r="E323" s="1">
        <v>43966</v>
      </c>
      <c r="F323" s="3">
        <v>239.96999999999997</v>
      </c>
    </row>
    <row r="324" spans="1:6" x14ac:dyDescent="0.45">
      <c r="A324" t="s">
        <v>16</v>
      </c>
      <c r="B324" t="s">
        <v>14</v>
      </c>
      <c r="C324" t="s">
        <v>29</v>
      </c>
      <c r="D324" t="s">
        <v>24</v>
      </c>
      <c r="E324" s="1">
        <v>43966</v>
      </c>
      <c r="F324" s="3">
        <v>337.9</v>
      </c>
    </row>
    <row r="325" spans="1:6" x14ac:dyDescent="0.45">
      <c r="A325" t="s">
        <v>16</v>
      </c>
      <c r="B325" t="s">
        <v>14</v>
      </c>
      <c r="C325" t="s">
        <v>29</v>
      </c>
      <c r="D325" t="s">
        <v>21</v>
      </c>
      <c r="E325" s="1">
        <v>43967</v>
      </c>
      <c r="F325" s="3">
        <v>2534.25</v>
      </c>
    </row>
    <row r="326" spans="1:6" x14ac:dyDescent="0.45">
      <c r="A326" t="s">
        <v>23</v>
      </c>
      <c r="B326" t="s">
        <v>14</v>
      </c>
      <c r="C326" t="s">
        <v>29</v>
      </c>
      <c r="D326" t="s">
        <v>24</v>
      </c>
      <c r="E326" s="1">
        <v>43967</v>
      </c>
      <c r="F326" s="3">
        <v>2365.2999999999997</v>
      </c>
    </row>
    <row r="327" spans="1:6" x14ac:dyDescent="0.45">
      <c r="A327" t="s">
        <v>23</v>
      </c>
      <c r="B327" t="s">
        <v>6</v>
      </c>
      <c r="C327" t="s">
        <v>29</v>
      </c>
      <c r="D327" t="s">
        <v>7</v>
      </c>
      <c r="E327" s="1">
        <v>43968</v>
      </c>
      <c r="F327" s="3">
        <v>2045.6999999999998</v>
      </c>
    </row>
    <row r="328" spans="1:6" x14ac:dyDescent="0.45">
      <c r="A328" t="s">
        <v>11</v>
      </c>
      <c r="B328" t="s">
        <v>6</v>
      </c>
      <c r="C328" t="s">
        <v>30</v>
      </c>
      <c r="D328" t="s">
        <v>7</v>
      </c>
      <c r="E328" s="1">
        <v>43968</v>
      </c>
      <c r="F328" s="3">
        <v>3750.45</v>
      </c>
    </row>
    <row r="329" spans="1:6" x14ac:dyDescent="0.45">
      <c r="A329" t="s">
        <v>19</v>
      </c>
      <c r="B329" t="s">
        <v>17</v>
      </c>
      <c r="C329" t="s">
        <v>29</v>
      </c>
      <c r="D329" t="s">
        <v>7</v>
      </c>
      <c r="E329" s="1">
        <v>43968</v>
      </c>
      <c r="F329" s="3">
        <v>11199.300000000001</v>
      </c>
    </row>
    <row r="330" spans="1:6" x14ac:dyDescent="0.45">
      <c r="A330" t="s">
        <v>20</v>
      </c>
      <c r="B330" t="s">
        <v>12</v>
      </c>
      <c r="C330" t="s">
        <v>32</v>
      </c>
      <c r="D330" t="s">
        <v>7</v>
      </c>
      <c r="E330" s="1">
        <v>43969</v>
      </c>
      <c r="F330" s="3">
        <v>559.92999999999995</v>
      </c>
    </row>
    <row r="331" spans="1:6" x14ac:dyDescent="0.45">
      <c r="A331" t="s">
        <v>18</v>
      </c>
      <c r="B331" t="s">
        <v>6</v>
      </c>
      <c r="C331" t="s">
        <v>32</v>
      </c>
      <c r="D331" t="s">
        <v>21</v>
      </c>
      <c r="E331" s="1">
        <v>43969</v>
      </c>
      <c r="F331" s="3">
        <v>4091.3999999999996</v>
      </c>
    </row>
    <row r="332" spans="1:6" x14ac:dyDescent="0.45">
      <c r="A332" t="s">
        <v>18</v>
      </c>
      <c r="B332" t="s">
        <v>6</v>
      </c>
      <c r="C332" t="s">
        <v>32</v>
      </c>
      <c r="D332" t="s">
        <v>10</v>
      </c>
      <c r="E332" s="1">
        <v>43969</v>
      </c>
      <c r="F332" s="3">
        <v>1704.75</v>
      </c>
    </row>
    <row r="333" spans="1:6" x14ac:dyDescent="0.45">
      <c r="A333" t="s">
        <v>5</v>
      </c>
      <c r="B333" t="s">
        <v>12</v>
      </c>
      <c r="C333" t="s">
        <v>32</v>
      </c>
      <c r="D333" t="s">
        <v>7</v>
      </c>
      <c r="E333" s="1">
        <v>43970</v>
      </c>
      <c r="F333" s="3">
        <v>1359.83</v>
      </c>
    </row>
    <row r="334" spans="1:6" x14ac:dyDescent="0.45">
      <c r="A334" t="s">
        <v>11</v>
      </c>
      <c r="B334" t="s">
        <v>6</v>
      </c>
      <c r="C334" t="s">
        <v>30</v>
      </c>
      <c r="D334" t="s">
        <v>21</v>
      </c>
      <c r="E334" s="1">
        <v>43970</v>
      </c>
      <c r="F334" s="3">
        <v>2727.6</v>
      </c>
    </row>
    <row r="335" spans="1:6" x14ac:dyDescent="0.45">
      <c r="A335" t="s">
        <v>15</v>
      </c>
      <c r="B335" t="s">
        <v>9</v>
      </c>
      <c r="C335" t="s">
        <v>31</v>
      </c>
      <c r="D335" t="s">
        <v>7</v>
      </c>
      <c r="E335" s="1">
        <v>43971</v>
      </c>
      <c r="F335" s="3">
        <v>5114.25</v>
      </c>
    </row>
    <row r="336" spans="1:6" x14ac:dyDescent="0.45">
      <c r="A336" t="s">
        <v>11</v>
      </c>
      <c r="B336" t="s">
        <v>14</v>
      </c>
      <c r="C336" t="s">
        <v>30</v>
      </c>
      <c r="D336" t="s">
        <v>10</v>
      </c>
      <c r="E336" s="1">
        <v>43971</v>
      </c>
      <c r="F336" s="3">
        <v>1858.4499999999998</v>
      </c>
    </row>
    <row r="337" spans="1:6" x14ac:dyDescent="0.45">
      <c r="A337" t="s">
        <v>26</v>
      </c>
      <c r="B337" t="s">
        <v>9</v>
      </c>
      <c r="C337" t="s">
        <v>30</v>
      </c>
      <c r="D337" t="s">
        <v>24</v>
      </c>
      <c r="E337" s="1">
        <v>43971</v>
      </c>
      <c r="F337" s="3">
        <v>5114.25</v>
      </c>
    </row>
    <row r="338" spans="1:6" x14ac:dyDescent="0.45">
      <c r="A338" t="s">
        <v>19</v>
      </c>
      <c r="B338" t="s">
        <v>17</v>
      </c>
      <c r="C338" t="s">
        <v>29</v>
      </c>
      <c r="D338" t="s">
        <v>21</v>
      </c>
      <c r="E338" s="1">
        <v>43971</v>
      </c>
      <c r="F338" s="3">
        <v>10399.35</v>
      </c>
    </row>
    <row r="339" spans="1:6" x14ac:dyDescent="0.45">
      <c r="A339" t="s">
        <v>25</v>
      </c>
      <c r="B339" t="s">
        <v>6</v>
      </c>
      <c r="C339" t="s">
        <v>30</v>
      </c>
      <c r="D339" t="s">
        <v>10</v>
      </c>
      <c r="E339" s="1">
        <v>43971</v>
      </c>
      <c r="F339" s="3">
        <v>2727.6</v>
      </c>
    </row>
    <row r="340" spans="1:6" x14ac:dyDescent="0.45">
      <c r="A340" t="s">
        <v>5</v>
      </c>
      <c r="B340" t="s">
        <v>14</v>
      </c>
      <c r="C340" t="s">
        <v>32</v>
      </c>
      <c r="D340" t="s">
        <v>24</v>
      </c>
      <c r="E340" s="1">
        <v>43971</v>
      </c>
      <c r="F340" s="3">
        <v>2196.35</v>
      </c>
    </row>
    <row r="341" spans="1:6" x14ac:dyDescent="0.45">
      <c r="A341" t="s">
        <v>16</v>
      </c>
      <c r="B341" t="s">
        <v>6</v>
      </c>
      <c r="C341" t="s">
        <v>29</v>
      </c>
      <c r="D341" t="s">
        <v>7</v>
      </c>
      <c r="E341" s="1">
        <v>43972</v>
      </c>
      <c r="F341" s="3">
        <v>6137.0999999999995</v>
      </c>
    </row>
    <row r="342" spans="1:6" x14ac:dyDescent="0.45">
      <c r="A342" t="s">
        <v>19</v>
      </c>
      <c r="B342" t="s">
        <v>14</v>
      </c>
      <c r="C342" t="s">
        <v>29</v>
      </c>
      <c r="D342" t="s">
        <v>21</v>
      </c>
      <c r="E342" s="1">
        <v>43972</v>
      </c>
      <c r="F342" s="3">
        <v>1013.6999999999999</v>
      </c>
    </row>
    <row r="343" spans="1:6" x14ac:dyDescent="0.45">
      <c r="A343" t="s">
        <v>22</v>
      </c>
      <c r="B343" t="s">
        <v>9</v>
      </c>
      <c r="C343" t="s">
        <v>29</v>
      </c>
      <c r="D343" t="s">
        <v>13</v>
      </c>
      <c r="E343" s="1">
        <v>43974</v>
      </c>
      <c r="F343" s="3">
        <v>1022.8499999999999</v>
      </c>
    </row>
    <row r="344" spans="1:6" x14ac:dyDescent="0.45">
      <c r="A344" t="s">
        <v>11</v>
      </c>
      <c r="B344" t="s">
        <v>9</v>
      </c>
      <c r="C344" t="s">
        <v>30</v>
      </c>
      <c r="D344" t="s">
        <v>7</v>
      </c>
      <c r="E344" s="1">
        <v>43974</v>
      </c>
      <c r="F344" s="3">
        <v>2386.65</v>
      </c>
    </row>
    <row r="345" spans="1:6" x14ac:dyDescent="0.45">
      <c r="A345" t="s">
        <v>25</v>
      </c>
      <c r="B345" t="s">
        <v>12</v>
      </c>
      <c r="C345" t="s">
        <v>32</v>
      </c>
      <c r="D345" t="s">
        <v>21</v>
      </c>
      <c r="E345" s="1">
        <v>43974</v>
      </c>
      <c r="F345" s="3">
        <v>159.97999999999999</v>
      </c>
    </row>
    <row r="346" spans="1:6" x14ac:dyDescent="0.45">
      <c r="A346" t="s">
        <v>25</v>
      </c>
      <c r="B346" t="s">
        <v>14</v>
      </c>
      <c r="C346" t="s">
        <v>32</v>
      </c>
      <c r="D346" t="s">
        <v>13</v>
      </c>
      <c r="E346" s="1">
        <v>43975</v>
      </c>
      <c r="F346" s="3">
        <v>675.8</v>
      </c>
    </row>
    <row r="347" spans="1:6" x14ac:dyDescent="0.45">
      <c r="A347" t="s">
        <v>16</v>
      </c>
      <c r="B347" t="s">
        <v>17</v>
      </c>
      <c r="C347" t="s">
        <v>29</v>
      </c>
      <c r="D347" t="s">
        <v>7</v>
      </c>
      <c r="E347" s="1">
        <v>43975</v>
      </c>
      <c r="F347" s="3">
        <v>5599.6500000000005</v>
      </c>
    </row>
    <row r="348" spans="1:6" x14ac:dyDescent="0.45">
      <c r="A348" t="s">
        <v>23</v>
      </c>
      <c r="B348" t="s">
        <v>14</v>
      </c>
      <c r="C348" t="s">
        <v>29</v>
      </c>
      <c r="D348" t="s">
        <v>7</v>
      </c>
      <c r="E348" s="1">
        <v>43976</v>
      </c>
      <c r="F348" s="3">
        <v>1520.55</v>
      </c>
    </row>
    <row r="349" spans="1:6" x14ac:dyDescent="0.45">
      <c r="A349" t="s">
        <v>25</v>
      </c>
      <c r="B349" t="s">
        <v>14</v>
      </c>
      <c r="C349" t="s">
        <v>32</v>
      </c>
      <c r="D349" t="s">
        <v>13</v>
      </c>
      <c r="E349" s="1">
        <v>43977</v>
      </c>
      <c r="F349" s="3">
        <v>2365.2999999999997</v>
      </c>
    </row>
    <row r="350" spans="1:6" x14ac:dyDescent="0.45">
      <c r="A350" t="s">
        <v>18</v>
      </c>
      <c r="B350" t="s">
        <v>14</v>
      </c>
      <c r="C350" t="s">
        <v>32</v>
      </c>
      <c r="D350" t="s">
        <v>13</v>
      </c>
      <c r="E350" s="1">
        <v>43977</v>
      </c>
      <c r="F350" s="3">
        <v>2027.3999999999999</v>
      </c>
    </row>
    <row r="351" spans="1:6" x14ac:dyDescent="0.45">
      <c r="A351" t="s">
        <v>25</v>
      </c>
      <c r="B351" t="s">
        <v>14</v>
      </c>
      <c r="C351" t="s">
        <v>32</v>
      </c>
      <c r="D351" t="s">
        <v>10</v>
      </c>
      <c r="E351" s="1">
        <v>43977</v>
      </c>
      <c r="F351" s="3">
        <v>2196.35</v>
      </c>
    </row>
    <row r="352" spans="1:6" x14ac:dyDescent="0.45">
      <c r="A352" t="s">
        <v>5</v>
      </c>
      <c r="B352" t="s">
        <v>6</v>
      </c>
      <c r="C352" t="s">
        <v>32</v>
      </c>
      <c r="D352" t="s">
        <v>24</v>
      </c>
      <c r="E352" s="1">
        <v>43977</v>
      </c>
      <c r="F352" s="3">
        <v>3409.5</v>
      </c>
    </row>
    <row r="353" spans="1:6" x14ac:dyDescent="0.45">
      <c r="A353" t="s">
        <v>22</v>
      </c>
      <c r="B353" t="s">
        <v>9</v>
      </c>
      <c r="C353" t="s">
        <v>29</v>
      </c>
      <c r="D353" t="s">
        <v>21</v>
      </c>
      <c r="E353" s="1">
        <v>43978</v>
      </c>
      <c r="F353" s="3">
        <v>1022.8499999999999</v>
      </c>
    </row>
    <row r="354" spans="1:6" x14ac:dyDescent="0.45">
      <c r="A354" t="s">
        <v>5</v>
      </c>
      <c r="B354" t="s">
        <v>17</v>
      </c>
      <c r="C354" t="s">
        <v>32</v>
      </c>
      <c r="D354" t="s">
        <v>21</v>
      </c>
      <c r="E354" s="1">
        <v>43978</v>
      </c>
      <c r="F354" s="3">
        <v>7999.5</v>
      </c>
    </row>
    <row r="355" spans="1:6" x14ac:dyDescent="0.45">
      <c r="A355" t="s">
        <v>8</v>
      </c>
      <c r="B355" t="s">
        <v>17</v>
      </c>
      <c r="C355" t="s">
        <v>31</v>
      </c>
      <c r="D355" t="s">
        <v>7</v>
      </c>
      <c r="E355" s="1">
        <v>43978</v>
      </c>
      <c r="F355" s="3">
        <v>15999</v>
      </c>
    </row>
    <row r="356" spans="1:6" x14ac:dyDescent="0.45">
      <c r="A356" t="s">
        <v>19</v>
      </c>
      <c r="B356" t="s">
        <v>6</v>
      </c>
      <c r="C356" t="s">
        <v>29</v>
      </c>
      <c r="D356" t="s">
        <v>21</v>
      </c>
      <c r="E356" s="1">
        <v>43978</v>
      </c>
      <c r="F356" s="3">
        <v>1704.75</v>
      </c>
    </row>
    <row r="357" spans="1:6" x14ac:dyDescent="0.45">
      <c r="A357" t="s">
        <v>25</v>
      </c>
      <c r="B357" t="s">
        <v>17</v>
      </c>
      <c r="C357" t="s">
        <v>32</v>
      </c>
      <c r="D357" t="s">
        <v>10</v>
      </c>
      <c r="E357" s="1">
        <v>43978</v>
      </c>
      <c r="F357" s="3">
        <v>3199.8</v>
      </c>
    </row>
    <row r="358" spans="1:6" x14ac:dyDescent="0.45">
      <c r="A358" t="s">
        <v>19</v>
      </c>
      <c r="B358" t="s">
        <v>17</v>
      </c>
      <c r="C358" t="s">
        <v>29</v>
      </c>
      <c r="D358" t="s">
        <v>10</v>
      </c>
      <c r="E358" s="1">
        <v>43978</v>
      </c>
      <c r="F358" s="3">
        <v>1599.9</v>
      </c>
    </row>
    <row r="359" spans="1:6" x14ac:dyDescent="0.45">
      <c r="A359" t="s">
        <v>16</v>
      </c>
      <c r="B359" t="s">
        <v>12</v>
      </c>
      <c r="C359" t="s">
        <v>29</v>
      </c>
      <c r="D359" t="s">
        <v>24</v>
      </c>
      <c r="E359" s="1">
        <v>43978</v>
      </c>
      <c r="F359" s="3">
        <v>159.97999999999999</v>
      </c>
    </row>
    <row r="360" spans="1:6" x14ac:dyDescent="0.45">
      <c r="A360" t="s">
        <v>22</v>
      </c>
      <c r="B360" t="s">
        <v>12</v>
      </c>
      <c r="C360" t="s">
        <v>29</v>
      </c>
      <c r="D360" t="s">
        <v>13</v>
      </c>
      <c r="E360" s="1">
        <v>43979</v>
      </c>
      <c r="F360" s="3">
        <v>79.989999999999995</v>
      </c>
    </row>
    <row r="361" spans="1:6" x14ac:dyDescent="0.45">
      <c r="A361" t="s">
        <v>23</v>
      </c>
      <c r="B361" t="s">
        <v>14</v>
      </c>
      <c r="C361" t="s">
        <v>29</v>
      </c>
      <c r="D361" t="s">
        <v>7</v>
      </c>
      <c r="E361" s="1">
        <v>43979</v>
      </c>
      <c r="F361" s="3">
        <v>1013.6999999999999</v>
      </c>
    </row>
    <row r="362" spans="1:6" x14ac:dyDescent="0.45">
      <c r="A362" t="s">
        <v>18</v>
      </c>
      <c r="B362" t="s">
        <v>6</v>
      </c>
      <c r="C362" t="s">
        <v>32</v>
      </c>
      <c r="D362" t="s">
        <v>7</v>
      </c>
      <c r="E362" s="1">
        <v>43979</v>
      </c>
      <c r="F362" s="3">
        <v>4773.3</v>
      </c>
    </row>
    <row r="363" spans="1:6" x14ac:dyDescent="0.45">
      <c r="A363" t="s">
        <v>20</v>
      </c>
      <c r="B363" t="s">
        <v>14</v>
      </c>
      <c r="C363" t="s">
        <v>32</v>
      </c>
      <c r="D363" t="s">
        <v>10</v>
      </c>
      <c r="E363" s="1">
        <v>43979</v>
      </c>
      <c r="F363" s="3">
        <v>1520.55</v>
      </c>
    </row>
    <row r="364" spans="1:6" x14ac:dyDescent="0.45">
      <c r="A364" t="s">
        <v>16</v>
      </c>
      <c r="B364" t="s">
        <v>6</v>
      </c>
      <c r="C364" t="s">
        <v>29</v>
      </c>
      <c r="D364" t="s">
        <v>24</v>
      </c>
      <c r="E364" s="1">
        <v>43979</v>
      </c>
      <c r="F364" s="3">
        <v>340.95</v>
      </c>
    </row>
    <row r="365" spans="1:6" x14ac:dyDescent="0.45">
      <c r="A365" t="s">
        <v>8</v>
      </c>
      <c r="B365" t="s">
        <v>14</v>
      </c>
      <c r="C365" t="s">
        <v>31</v>
      </c>
      <c r="D365" t="s">
        <v>7</v>
      </c>
      <c r="E365" s="1">
        <v>43980</v>
      </c>
      <c r="F365" s="3">
        <v>2872.1499999999996</v>
      </c>
    </row>
    <row r="366" spans="1:6" x14ac:dyDescent="0.45">
      <c r="A366" t="s">
        <v>25</v>
      </c>
      <c r="B366" t="s">
        <v>14</v>
      </c>
      <c r="C366" t="s">
        <v>32</v>
      </c>
      <c r="D366" t="s">
        <v>21</v>
      </c>
      <c r="E366" s="1">
        <v>43980</v>
      </c>
      <c r="F366" s="3">
        <v>2196.35</v>
      </c>
    </row>
    <row r="367" spans="1:6" x14ac:dyDescent="0.45">
      <c r="A367" t="s">
        <v>16</v>
      </c>
      <c r="B367" t="s">
        <v>9</v>
      </c>
      <c r="C367" t="s">
        <v>29</v>
      </c>
      <c r="D367" t="s">
        <v>24</v>
      </c>
      <c r="E367" s="1">
        <v>43981</v>
      </c>
      <c r="F367" s="3">
        <v>3068.5499999999997</v>
      </c>
    </row>
    <row r="368" spans="1:6" x14ac:dyDescent="0.45">
      <c r="A368" t="s">
        <v>16</v>
      </c>
      <c r="B368" t="s">
        <v>17</v>
      </c>
      <c r="C368" t="s">
        <v>29</v>
      </c>
      <c r="D368" t="s">
        <v>13</v>
      </c>
      <c r="E368" s="1">
        <v>43982</v>
      </c>
      <c r="F368" s="3">
        <v>3999.75</v>
      </c>
    </row>
    <row r="369" spans="1:6" x14ac:dyDescent="0.45">
      <c r="A369" t="s">
        <v>25</v>
      </c>
      <c r="B369" t="s">
        <v>17</v>
      </c>
      <c r="C369" t="s">
        <v>32</v>
      </c>
      <c r="D369" t="s">
        <v>7</v>
      </c>
      <c r="E369" s="1">
        <v>43982</v>
      </c>
      <c r="F369" s="3">
        <v>6399.6</v>
      </c>
    </row>
    <row r="370" spans="1:6" x14ac:dyDescent="0.45">
      <c r="A370" t="s">
        <v>16</v>
      </c>
      <c r="B370" t="s">
        <v>9</v>
      </c>
      <c r="C370" t="s">
        <v>29</v>
      </c>
      <c r="D370" t="s">
        <v>7</v>
      </c>
      <c r="E370" s="1">
        <v>43982</v>
      </c>
      <c r="F370" s="3">
        <v>6819</v>
      </c>
    </row>
    <row r="371" spans="1:6" x14ac:dyDescent="0.45">
      <c r="A371" t="s">
        <v>11</v>
      </c>
      <c r="B371" t="s">
        <v>17</v>
      </c>
      <c r="C371" t="s">
        <v>30</v>
      </c>
      <c r="D371" t="s">
        <v>24</v>
      </c>
      <c r="E371" s="1">
        <v>43982</v>
      </c>
      <c r="F371" s="3">
        <v>9599.4000000000015</v>
      </c>
    </row>
    <row r="372" spans="1:6" x14ac:dyDescent="0.45">
      <c r="A372" t="s">
        <v>11</v>
      </c>
      <c r="B372" t="s">
        <v>6</v>
      </c>
      <c r="C372" t="s">
        <v>30</v>
      </c>
      <c r="D372" t="s">
        <v>24</v>
      </c>
      <c r="E372" s="1">
        <v>43982</v>
      </c>
      <c r="F372" s="3">
        <v>3068.5499999999997</v>
      </c>
    </row>
    <row r="373" spans="1:6" x14ac:dyDescent="0.45">
      <c r="A373" t="s">
        <v>22</v>
      </c>
      <c r="B373" t="s">
        <v>12</v>
      </c>
      <c r="C373" t="s">
        <v>29</v>
      </c>
      <c r="D373" t="s">
        <v>24</v>
      </c>
      <c r="E373" s="1">
        <v>43984</v>
      </c>
      <c r="F373" s="3">
        <v>239.96999999999997</v>
      </c>
    </row>
    <row r="374" spans="1:6" x14ac:dyDescent="0.45">
      <c r="A374" t="s">
        <v>18</v>
      </c>
      <c r="B374" t="s">
        <v>14</v>
      </c>
      <c r="C374" t="s">
        <v>32</v>
      </c>
      <c r="D374" t="s">
        <v>7</v>
      </c>
      <c r="E374" s="1">
        <v>43985</v>
      </c>
      <c r="F374" s="3">
        <v>2365.2999999999997</v>
      </c>
    </row>
    <row r="375" spans="1:6" x14ac:dyDescent="0.45">
      <c r="A375" t="s">
        <v>25</v>
      </c>
      <c r="B375" t="s">
        <v>14</v>
      </c>
      <c r="C375" t="s">
        <v>32</v>
      </c>
      <c r="D375" t="s">
        <v>7</v>
      </c>
      <c r="E375" s="1">
        <v>43985</v>
      </c>
      <c r="F375" s="3">
        <v>2365.2999999999997</v>
      </c>
    </row>
    <row r="376" spans="1:6" x14ac:dyDescent="0.45">
      <c r="A376" t="s">
        <v>19</v>
      </c>
      <c r="B376" t="s">
        <v>17</v>
      </c>
      <c r="C376" t="s">
        <v>29</v>
      </c>
      <c r="D376" t="s">
        <v>21</v>
      </c>
      <c r="E376" s="1">
        <v>43985</v>
      </c>
      <c r="F376" s="3">
        <v>7999.5</v>
      </c>
    </row>
    <row r="377" spans="1:6" x14ac:dyDescent="0.45">
      <c r="A377" t="s">
        <v>18</v>
      </c>
      <c r="B377" t="s">
        <v>14</v>
      </c>
      <c r="C377" t="s">
        <v>32</v>
      </c>
      <c r="D377" t="s">
        <v>21</v>
      </c>
      <c r="E377" s="1">
        <v>43985</v>
      </c>
      <c r="F377" s="3">
        <v>675.8</v>
      </c>
    </row>
    <row r="378" spans="1:6" x14ac:dyDescent="0.45">
      <c r="A378" t="s">
        <v>25</v>
      </c>
      <c r="B378" t="s">
        <v>6</v>
      </c>
      <c r="C378" t="s">
        <v>30</v>
      </c>
      <c r="D378" t="s">
        <v>10</v>
      </c>
      <c r="E378" s="1">
        <v>43986</v>
      </c>
      <c r="F378" s="3">
        <v>681.9</v>
      </c>
    </row>
    <row r="379" spans="1:6" x14ac:dyDescent="0.45">
      <c r="A379" t="s">
        <v>20</v>
      </c>
      <c r="B379" t="s">
        <v>12</v>
      </c>
      <c r="C379" t="s">
        <v>32</v>
      </c>
      <c r="D379" t="s">
        <v>10</v>
      </c>
      <c r="E379" s="1">
        <v>43986</v>
      </c>
      <c r="F379" s="3">
        <v>959.87999999999988</v>
      </c>
    </row>
    <row r="380" spans="1:6" x14ac:dyDescent="0.45">
      <c r="A380" t="s">
        <v>22</v>
      </c>
      <c r="B380" t="s">
        <v>6</v>
      </c>
      <c r="C380" t="s">
        <v>29</v>
      </c>
      <c r="D380" t="s">
        <v>13</v>
      </c>
      <c r="E380" s="1">
        <v>43988</v>
      </c>
      <c r="F380" s="3">
        <v>3068.5499999999997</v>
      </c>
    </row>
    <row r="381" spans="1:6" x14ac:dyDescent="0.45">
      <c r="A381" t="s">
        <v>25</v>
      </c>
      <c r="B381" t="s">
        <v>6</v>
      </c>
      <c r="C381" t="s">
        <v>30</v>
      </c>
      <c r="D381" t="s">
        <v>13</v>
      </c>
      <c r="E381" s="1">
        <v>43988</v>
      </c>
      <c r="F381" s="3">
        <v>681.9</v>
      </c>
    </row>
    <row r="382" spans="1:6" x14ac:dyDescent="0.45">
      <c r="A382" t="s">
        <v>5</v>
      </c>
      <c r="B382" t="s">
        <v>14</v>
      </c>
      <c r="C382" t="s">
        <v>32</v>
      </c>
      <c r="D382" t="s">
        <v>7</v>
      </c>
      <c r="E382" s="1">
        <v>43988</v>
      </c>
      <c r="F382" s="3">
        <v>1013.6999999999999</v>
      </c>
    </row>
    <row r="383" spans="1:6" x14ac:dyDescent="0.45">
      <c r="A383" t="s">
        <v>16</v>
      </c>
      <c r="B383" t="s">
        <v>12</v>
      </c>
      <c r="C383" t="s">
        <v>29</v>
      </c>
      <c r="D383" t="s">
        <v>21</v>
      </c>
      <c r="E383" s="1">
        <v>43989</v>
      </c>
      <c r="F383" s="3">
        <v>479.93999999999994</v>
      </c>
    </row>
    <row r="384" spans="1:6" x14ac:dyDescent="0.45">
      <c r="A384" t="s">
        <v>5</v>
      </c>
      <c r="B384" t="s">
        <v>9</v>
      </c>
      <c r="C384" t="s">
        <v>32</v>
      </c>
      <c r="D384" t="s">
        <v>13</v>
      </c>
      <c r="E384" s="1">
        <v>43991</v>
      </c>
      <c r="F384" s="3">
        <v>2386.65</v>
      </c>
    </row>
    <row r="385" spans="1:6" x14ac:dyDescent="0.45">
      <c r="A385" t="s">
        <v>23</v>
      </c>
      <c r="B385" t="s">
        <v>14</v>
      </c>
      <c r="C385" t="s">
        <v>29</v>
      </c>
      <c r="D385" t="s">
        <v>7</v>
      </c>
      <c r="E385" s="1">
        <v>43992</v>
      </c>
      <c r="F385" s="3">
        <v>3041.1</v>
      </c>
    </row>
    <row r="386" spans="1:6" x14ac:dyDescent="0.45">
      <c r="A386" t="s">
        <v>18</v>
      </c>
      <c r="B386" t="s">
        <v>17</v>
      </c>
      <c r="C386" t="s">
        <v>32</v>
      </c>
      <c r="D386" t="s">
        <v>10</v>
      </c>
      <c r="E386" s="1">
        <v>43992</v>
      </c>
      <c r="F386" s="3">
        <v>2399.8500000000004</v>
      </c>
    </row>
    <row r="387" spans="1:6" x14ac:dyDescent="0.45">
      <c r="A387" t="s">
        <v>18</v>
      </c>
      <c r="B387" t="s">
        <v>6</v>
      </c>
      <c r="C387" t="s">
        <v>32</v>
      </c>
      <c r="D387" t="s">
        <v>7</v>
      </c>
      <c r="E387" s="1">
        <v>43993</v>
      </c>
      <c r="F387" s="3">
        <v>4432.3499999999995</v>
      </c>
    </row>
    <row r="388" spans="1:6" x14ac:dyDescent="0.45">
      <c r="A388" t="s">
        <v>15</v>
      </c>
      <c r="B388" t="s">
        <v>12</v>
      </c>
      <c r="C388" t="s">
        <v>31</v>
      </c>
      <c r="D388" t="s">
        <v>21</v>
      </c>
      <c r="E388" s="1">
        <v>43994</v>
      </c>
      <c r="F388" s="3">
        <v>1119.8599999999999</v>
      </c>
    </row>
    <row r="389" spans="1:6" x14ac:dyDescent="0.45">
      <c r="A389" t="s">
        <v>18</v>
      </c>
      <c r="B389" t="s">
        <v>17</v>
      </c>
      <c r="C389" t="s">
        <v>32</v>
      </c>
      <c r="D389" t="s">
        <v>21</v>
      </c>
      <c r="E389" s="1">
        <v>43994</v>
      </c>
      <c r="F389" s="3">
        <v>2399.8500000000004</v>
      </c>
    </row>
    <row r="390" spans="1:6" x14ac:dyDescent="0.45">
      <c r="A390" t="s">
        <v>8</v>
      </c>
      <c r="B390" t="s">
        <v>6</v>
      </c>
      <c r="C390" t="s">
        <v>31</v>
      </c>
      <c r="D390" t="s">
        <v>7</v>
      </c>
      <c r="E390" s="1">
        <v>43994</v>
      </c>
      <c r="F390" s="3">
        <v>2727.6</v>
      </c>
    </row>
    <row r="391" spans="1:6" x14ac:dyDescent="0.45">
      <c r="A391" t="s">
        <v>22</v>
      </c>
      <c r="B391" t="s">
        <v>9</v>
      </c>
      <c r="C391" t="s">
        <v>29</v>
      </c>
      <c r="D391" t="s">
        <v>24</v>
      </c>
      <c r="E391" s="1">
        <v>43994</v>
      </c>
      <c r="F391" s="3">
        <v>3068.5499999999997</v>
      </c>
    </row>
    <row r="392" spans="1:6" x14ac:dyDescent="0.45">
      <c r="A392" t="s">
        <v>18</v>
      </c>
      <c r="B392" t="s">
        <v>9</v>
      </c>
      <c r="C392" t="s">
        <v>32</v>
      </c>
      <c r="D392" t="s">
        <v>7</v>
      </c>
      <c r="E392" s="1">
        <v>43995</v>
      </c>
      <c r="F392" s="3">
        <v>6137.0999999999995</v>
      </c>
    </row>
    <row r="393" spans="1:6" x14ac:dyDescent="0.45">
      <c r="A393" t="s">
        <v>11</v>
      </c>
      <c r="B393" t="s">
        <v>12</v>
      </c>
      <c r="C393" t="s">
        <v>30</v>
      </c>
      <c r="D393" t="s">
        <v>24</v>
      </c>
      <c r="E393" s="1">
        <v>43995</v>
      </c>
      <c r="F393" s="3">
        <v>719.91</v>
      </c>
    </row>
    <row r="394" spans="1:6" x14ac:dyDescent="0.45">
      <c r="A394" t="s">
        <v>22</v>
      </c>
      <c r="B394" t="s">
        <v>17</v>
      </c>
      <c r="C394" t="s">
        <v>29</v>
      </c>
      <c r="D394" t="s">
        <v>7</v>
      </c>
      <c r="E394" s="1">
        <v>43995</v>
      </c>
      <c r="F394" s="3">
        <v>8799.4500000000007</v>
      </c>
    </row>
    <row r="395" spans="1:6" x14ac:dyDescent="0.45">
      <c r="A395" t="s">
        <v>26</v>
      </c>
      <c r="B395" t="s">
        <v>9</v>
      </c>
      <c r="C395" t="s">
        <v>30</v>
      </c>
      <c r="D395" t="s">
        <v>10</v>
      </c>
      <c r="E395" s="1">
        <v>43995</v>
      </c>
      <c r="F395" s="3">
        <v>3750.45</v>
      </c>
    </row>
    <row r="396" spans="1:6" x14ac:dyDescent="0.45">
      <c r="A396" t="s">
        <v>22</v>
      </c>
      <c r="B396" t="s">
        <v>17</v>
      </c>
      <c r="C396" t="s">
        <v>29</v>
      </c>
      <c r="D396" t="s">
        <v>21</v>
      </c>
      <c r="E396" s="1">
        <v>43996</v>
      </c>
      <c r="F396" s="3">
        <v>7999.5</v>
      </c>
    </row>
    <row r="397" spans="1:6" x14ac:dyDescent="0.45">
      <c r="A397" t="s">
        <v>26</v>
      </c>
      <c r="B397" t="s">
        <v>6</v>
      </c>
      <c r="C397" t="s">
        <v>30</v>
      </c>
      <c r="D397" t="s">
        <v>13</v>
      </c>
      <c r="E397" s="1">
        <v>43997</v>
      </c>
      <c r="F397" s="3">
        <v>2045.6999999999998</v>
      </c>
    </row>
    <row r="398" spans="1:6" x14ac:dyDescent="0.45">
      <c r="A398" t="s">
        <v>22</v>
      </c>
      <c r="B398" t="s">
        <v>17</v>
      </c>
      <c r="C398" t="s">
        <v>29</v>
      </c>
      <c r="D398" t="s">
        <v>13</v>
      </c>
      <c r="E398" s="1">
        <v>43999</v>
      </c>
      <c r="F398" s="3">
        <v>799.95</v>
      </c>
    </row>
    <row r="399" spans="1:6" x14ac:dyDescent="0.45">
      <c r="A399" t="s">
        <v>15</v>
      </c>
      <c r="B399" t="s">
        <v>12</v>
      </c>
      <c r="C399" t="s">
        <v>31</v>
      </c>
      <c r="D399" t="s">
        <v>24</v>
      </c>
      <c r="E399" s="1">
        <v>43999</v>
      </c>
      <c r="F399" s="3">
        <v>879.89</v>
      </c>
    </row>
    <row r="400" spans="1:6" x14ac:dyDescent="0.45">
      <c r="A400" t="s">
        <v>11</v>
      </c>
      <c r="B400" t="s">
        <v>12</v>
      </c>
      <c r="C400" t="s">
        <v>30</v>
      </c>
      <c r="D400" t="s">
        <v>24</v>
      </c>
      <c r="E400" s="1">
        <v>43999</v>
      </c>
      <c r="F400" s="3">
        <v>879.89</v>
      </c>
    </row>
    <row r="401" spans="1:6" x14ac:dyDescent="0.45">
      <c r="A401" t="s">
        <v>23</v>
      </c>
      <c r="B401" t="s">
        <v>14</v>
      </c>
      <c r="C401" t="s">
        <v>29</v>
      </c>
      <c r="D401" t="s">
        <v>13</v>
      </c>
      <c r="E401" s="1">
        <v>44000</v>
      </c>
      <c r="F401" s="3">
        <v>1013.6999999999999</v>
      </c>
    </row>
    <row r="402" spans="1:6" x14ac:dyDescent="0.45">
      <c r="A402" t="s">
        <v>20</v>
      </c>
      <c r="B402" t="s">
        <v>14</v>
      </c>
      <c r="C402" t="s">
        <v>32</v>
      </c>
      <c r="D402" t="s">
        <v>13</v>
      </c>
      <c r="E402" s="1">
        <v>44000</v>
      </c>
      <c r="F402" s="3">
        <v>1520.55</v>
      </c>
    </row>
    <row r="403" spans="1:6" x14ac:dyDescent="0.45">
      <c r="A403" t="s">
        <v>26</v>
      </c>
      <c r="B403" t="s">
        <v>6</v>
      </c>
      <c r="C403" t="s">
        <v>30</v>
      </c>
      <c r="D403" t="s">
        <v>13</v>
      </c>
      <c r="E403" s="1">
        <v>44000</v>
      </c>
      <c r="F403" s="3">
        <v>3409.5</v>
      </c>
    </row>
    <row r="404" spans="1:6" x14ac:dyDescent="0.45">
      <c r="A404" t="s">
        <v>5</v>
      </c>
      <c r="B404" t="s">
        <v>17</v>
      </c>
      <c r="C404" t="s">
        <v>32</v>
      </c>
      <c r="D404" t="s">
        <v>24</v>
      </c>
      <c r="E404" s="1">
        <v>44000</v>
      </c>
      <c r="F404" s="3">
        <v>2399.8500000000004</v>
      </c>
    </row>
    <row r="405" spans="1:6" x14ac:dyDescent="0.45">
      <c r="A405" t="s">
        <v>5</v>
      </c>
      <c r="B405" t="s">
        <v>17</v>
      </c>
      <c r="C405" t="s">
        <v>32</v>
      </c>
      <c r="D405" t="s">
        <v>7</v>
      </c>
      <c r="E405" s="1">
        <v>44001</v>
      </c>
      <c r="F405" s="3">
        <v>15199.050000000001</v>
      </c>
    </row>
    <row r="406" spans="1:6" x14ac:dyDescent="0.45">
      <c r="A406" t="s">
        <v>25</v>
      </c>
      <c r="B406" t="s">
        <v>9</v>
      </c>
      <c r="C406" t="s">
        <v>32</v>
      </c>
      <c r="D406" t="s">
        <v>10</v>
      </c>
      <c r="E406" s="1">
        <v>44001</v>
      </c>
      <c r="F406" s="3">
        <v>4773.3</v>
      </c>
    </row>
    <row r="407" spans="1:6" x14ac:dyDescent="0.45">
      <c r="A407" t="s">
        <v>18</v>
      </c>
      <c r="B407" t="s">
        <v>9</v>
      </c>
      <c r="C407" t="s">
        <v>32</v>
      </c>
      <c r="D407" t="s">
        <v>13</v>
      </c>
      <c r="E407" s="1">
        <v>44001</v>
      </c>
      <c r="F407" s="3">
        <v>1022.8499999999999</v>
      </c>
    </row>
    <row r="408" spans="1:6" x14ac:dyDescent="0.45">
      <c r="A408" t="s">
        <v>5</v>
      </c>
      <c r="B408" t="s">
        <v>17</v>
      </c>
      <c r="C408" t="s">
        <v>32</v>
      </c>
      <c r="D408" t="s">
        <v>13</v>
      </c>
      <c r="E408" s="1">
        <v>44001</v>
      </c>
      <c r="F408" s="3">
        <v>799.95</v>
      </c>
    </row>
    <row r="409" spans="1:6" x14ac:dyDescent="0.45">
      <c r="A409" t="s">
        <v>26</v>
      </c>
      <c r="B409" t="s">
        <v>6</v>
      </c>
      <c r="C409" t="s">
        <v>30</v>
      </c>
      <c r="D409" t="s">
        <v>21</v>
      </c>
      <c r="E409" s="1">
        <v>44001</v>
      </c>
      <c r="F409" s="3">
        <v>340.95</v>
      </c>
    </row>
    <row r="410" spans="1:6" x14ac:dyDescent="0.45">
      <c r="A410" t="s">
        <v>25</v>
      </c>
      <c r="B410" t="s">
        <v>17</v>
      </c>
      <c r="C410" t="s">
        <v>32</v>
      </c>
      <c r="D410" t="s">
        <v>10</v>
      </c>
      <c r="E410" s="1">
        <v>44003</v>
      </c>
      <c r="F410" s="3">
        <v>8799.4500000000007</v>
      </c>
    </row>
    <row r="411" spans="1:6" x14ac:dyDescent="0.45">
      <c r="A411" t="s">
        <v>22</v>
      </c>
      <c r="B411" t="s">
        <v>17</v>
      </c>
      <c r="C411" t="s">
        <v>29</v>
      </c>
      <c r="D411" t="s">
        <v>24</v>
      </c>
      <c r="E411" s="1">
        <v>44003</v>
      </c>
      <c r="F411" s="3">
        <v>4799.7000000000007</v>
      </c>
    </row>
    <row r="412" spans="1:6" x14ac:dyDescent="0.45">
      <c r="A412" t="s">
        <v>25</v>
      </c>
      <c r="B412" t="s">
        <v>6</v>
      </c>
      <c r="C412" t="s">
        <v>30</v>
      </c>
      <c r="D412" t="s">
        <v>13</v>
      </c>
      <c r="E412" s="1">
        <v>44003</v>
      </c>
      <c r="F412" s="3">
        <v>2386.65</v>
      </c>
    </row>
    <row r="413" spans="1:6" x14ac:dyDescent="0.45">
      <c r="A413" t="s">
        <v>18</v>
      </c>
      <c r="B413" t="s">
        <v>17</v>
      </c>
      <c r="C413" t="s">
        <v>32</v>
      </c>
      <c r="D413" t="s">
        <v>13</v>
      </c>
      <c r="E413" s="1">
        <v>44003</v>
      </c>
      <c r="F413" s="3">
        <v>9599.4000000000015</v>
      </c>
    </row>
    <row r="414" spans="1:6" x14ac:dyDescent="0.45">
      <c r="A414" t="s">
        <v>5</v>
      </c>
      <c r="B414" t="s">
        <v>12</v>
      </c>
      <c r="C414" t="s">
        <v>32</v>
      </c>
      <c r="D414" t="s">
        <v>10</v>
      </c>
      <c r="E414" s="1">
        <v>44004</v>
      </c>
      <c r="F414" s="3">
        <v>239.96999999999997</v>
      </c>
    </row>
    <row r="415" spans="1:6" x14ac:dyDescent="0.45">
      <c r="A415" t="s">
        <v>25</v>
      </c>
      <c r="B415" t="s">
        <v>17</v>
      </c>
      <c r="C415" t="s">
        <v>32</v>
      </c>
      <c r="D415" t="s">
        <v>7</v>
      </c>
      <c r="E415" s="1">
        <v>44006</v>
      </c>
      <c r="F415" s="3">
        <v>15199.050000000001</v>
      </c>
    </row>
    <row r="416" spans="1:6" x14ac:dyDescent="0.45">
      <c r="A416" t="s">
        <v>11</v>
      </c>
      <c r="B416" t="s">
        <v>14</v>
      </c>
      <c r="C416" t="s">
        <v>30</v>
      </c>
      <c r="D416" t="s">
        <v>13</v>
      </c>
      <c r="E416" s="1">
        <v>44007</v>
      </c>
      <c r="F416" s="3">
        <v>844.75</v>
      </c>
    </row>
    <row r="417" spans="1:6" x14ac:dyDescent="0.45">
      <c r="A417" t="s">
        <v>18</v>
      </c>
      <c r="B417" t="s">
        <v>17</v>
      </c>
      <c r="C417" t="s">
        <v>32</v>
      </c>
      <c r="D417" t="s">
        <v>7</v>
      </c>
      <c r="E417" s="1">
        <v>44007</v>
      </c>
      <c r="F417" s="3">
        <v>15199.050000000001</v>
      </c>
    </row>
    <row r="418" spans="1:6" x14ac:dyDescent="0.45">
      <c r="A418" t="s">
        <v>18</v>
      </c>
      <c r="B418" t="s">
        <v>12</v>
      </c>
      <c r="C418" t="s">
        <v>32</v>
      </c>
      <c r="D418" t="s">
        <v>21</v>
      </c>
      <c r="E418" s="1">
        <v>44007</v>
      </c>
      <c r="F418" s="3">
        <v>799.9</v>
      </c>
    </row>
    <row r="419" spans="1:6" x14ac:dyDescent="0.45">
      <c r="A419" t="s">
        <v>20</v>
      </c>
      <c r="B419" t="s">
        <v>6</v>
      </c>
      <c r="C419" t="s">
        <v>32</v>
      </c>
      <c r="D419" t="s">
        <v>24</v>
      </c>
      <c r="E419" s="1">
        <v>44007</v>
      </c>
      <c r="F419" s="3">
        <v>2727.6</v>
      </c>
    </row>
    <row r="420" spans="1:6" x14ac:dyDescent="0.45">
      <c r="A420" t="s">
        <v>18</v>
      </c>
      <c r="B420" t="s">
        <v>17</v>
      </c>
      <c r="C420" t="s">
        <v>32</v>
      </c>
      <c r="D420" t="s">
        <v>24</v>
      </c>
      <c r="E420" s="1">
        <v>44007</v>
      </c>
      <c r="F420" s="3">
        <v>7199.55</v>
      </c>
    </row>
    <row r="421" spans="1:6" x14ac:dyDescent="0.45">
      <c r="A421" t="s">
        <v>11</v>
      </c>
      <c r="B421" t="s">
        <v>17</v>
      </c>
      <c r="C421" t="s">
        <v>30</v>
      </c>
      <c r="D421" t="s">
        <v>7</v>
      </c>
      <c r="E421" s="1">
        <v>44007</v>
      </c>
      <c r="F421" s="3">
        <v>12799.2</v>
      </c>
    </row>
    <row r="422" spans="1:6" x14ac:dyDescent="0.45">
      <c r="A422" t="s">
        <v>5</v>
      </c>
      <c r="B422" t="s">
        <v>17</v>
      </c>
      <c r="C422" t="s">
        <v>32</v>
      </c>
      <c r="D422" t="s">
        <v>7</v>
      </c>
      <c r="E422" s="1">
        <v>44007</v>
      </c>
      <c r="F422" s="3">
        <v>13599.150000000001</v>
      </c>
    </row>
    <row r="423" spans="1:6" x14ac:dyDescent="0.45">
      <c r="A423" t="s">
        <v>16</v>
      </c>
      <c r="B423" t="s">
        <v>17</v>
      </c>
      <c r="C423" t="s">
        <v>29</v>
      </c>
      <c r="D423" t="s">
        <v>24</v>
      </c>
      <c r="E423" s="1">
        <v>44007</v>
      </c>
      <c r="F423" s="3">
        <v>6399.6</v>
      </c>
    </row>
    <row r="424" spans="1:6" x14ac:dyDescent="0.45">
      <c r="A424" t="s">
        <v>5</v>
      </c>
      <c r="B424" t="s">
        <v>12</v>
      </c>
      <c r="C424" t="s">
        <v>32</v>
      </c>
      <c r="D424" t="s">
        <v>24</v>
      </c>
      <c r="E424" s="1">
        <v>44007</v>
      </c>
      <c r="F424" s="3">
        <v>239.96999999999997</v>
      </c>
    </row>
    <row r="425" spans="1:6" x14ac:dyDescent="0.45">
      <c r="A425" t="s">
        <v>18</v>
      </c>
      <c r="B425" t="s">
        <v>9</v>
      </c>
      <c r="C425" t="s">
        <v>32</v>
      </c>
      <c r="D425" t="s">
        <v>21</v>
      </c>
      <c r="E425" s="1">
        <v>44008</v>
      </c>
      <c r="F425" s="3">
        <v>2045.6999999999998</v>
      </c>
    </row>
    <row r="426" spans="1:6" x14ac:dyDescent="0.45">
      <c r="A426" t="s">
        <v>16</v>
      </c>
      <c r="B426" t="s">
        <v>12</v>
      </c>
      <c r="C426" t="s">
        <v>29</v>
      </c>
      <c r="D426" t="s">
        <v>10</v>
      </c>
      <c r="E426" s="1">
        <v>44008</v>
      </c>
      <c r="F426" s="3">
        <v>879.89</v>
      </c>
    </row>
    <row r="427" spans="1:6" x14ac:dyDescent="0.45">
      <c r="A427" t="s">
        <v>19</v>
      </c>
      <c r="B427" t="s">
        <v>12</v>
      </c>
      <c r="C427" t="s">
        <v>29</v>
      </c>
      <c r="D427" t="s">
        <v>21</v>
      </c>
      <c r="E427" s="1">
        <v>44008</v>
      </c>
      <c r="F427" s="3">
        <v>1199.8499999999999</v>
      </c>
    </row>
    <row r="428" spans="1:6" x14ac:dyDescent="0.45">
      <c r="A428" t="s">
        <v>20</v>
      </c>
      <c r="B428" t="s">
        <v>14</v>
      </c>
      <c r="C428" t="s">
        <v>32</v>
      </c>
      <c r="D428" t="s">
        <v>13</v>
      </c>
      <c r="E428" s="1">
        <v>44009</v>
      </c>
      <c r="F428" s="3">
        <v>1182.6499999999999</v>
      </c>
    </row>
    <row r="429" spans="1:6" x14ac:dyDescent="0.45">
      <c r="A429" t="s">
        <v>22</v>
      </c>
      <c r="B429" t="s">
        <v>9</v>
      </c>
      <c r="C429" t="s">
        <v>29</v>
      </c>
      <c r="D429" t="s">
        <v>10</v>
      </c>
      <c r="E429" s="1">
        <v>44009</v>
      </c>
      <c r="F429" s="3">
        <v>681.9</v>
      </c>
    </row>
    <row r="430" spans="1:6" x14ac:dyDescent="0.45">
      <c r="A430" t="s">
        <v>20</v>
      </c>
      <c r="B430" t="s">
        <v>9</v>
      </c>
      <c r="C430" t="s">
        <v>32</v>
      </c>
      <c r="D430" t="s">
        <v>24</v>
      </c>
      <c r="E430" s="1">
        <v>44009</v>
      </c>
      <c r="F430" s="3">
        <v>5114.25</v>
      </c>
    </row>
    <row r="431" spans="1:6" x14ac:dyDescent="0.45">
      <c r="A431" t="s">
        <v>16</v>
      </c>
      <c r="B431" t="s">
        <v>14</v>
      </c>
      <c r="C431" t="s">
        <v>29</v>
      </c>
      <c r="D431" t="s">
        <v>13</v>
      </c>
      <c r="E431" s="1">
        <v>44009</v>
      </c>
      <c r="F431" s="3">
        <v>2196.35</v>
      </c>
    </row>
    <row r="432" spans="1:6" x14ac:dyDescent="0.45">
      <c r="A432" t="s">
        <v>16</v>
      </c>
      <c r="B432" t="s">
        <v>14</v>
      </c>
      <c r="C432" t="s">
        <v>29</v>
      </c>
      <c r="D432" t="s">
        <v>21</v>
      </c>
      <c r="E432" s="1">
        <v>44009</v>
      </c>
      <c r="F432" s="3">
        <v>506.84999999999997</v>
      </c>
    </row>
    <row r="433" spans="1:6" x14ac:dyDescent="0.45">
      <c r="A433" t="s">
        <v>25</v>
      </c>
      <c r="B433" t="s">
        <v>12</v>
      </c>
      <c r="C433" t="s">
        <v>32</v>
      </c>
      <c r="D433" t="s">
        <v>7</v>
      </c>
      <c r="E433" s="1">
        <v>44010</v>
      </c>
      <c r="F433" s="3">
        <v>959.87999999999988</v>
      </c>
    </row>
    <row r="434" spans="1:6" x14ac:dyDescent="0.45">
      <c r="A434" t="s">
        <v>15</v>
      </c>
      <c r="B434" t="s">
        <v>17</v>
      </c>
      <c r="C434" t="s">
        <v>31</v>
      </c>
      <c r="D434" t="s">
        <v>24</v>
      </c>
      <c r="E434" s="1">
        <v>44010</v>
      </c>
      <c r="F434" s="3">
        <v>11199.300000000001</v>
      </c>
    </row>
    <row r="435" spans="1:6" x14ac:dyDescent="0.45">
      <c r="A435" t="s">
        <v>23</v>
      </c>
      <c r="B435" t="s">
        <v>17</v>
      </c>
      <c r="C435" t="s">
        <v>29</v>
      </c>
      <c r="D435" t="s">
        <v>24</v>
      </c>
      <c r="E435" s="1">
        <v>44010</v>
      </c>
      <c r="F435" s="3">
        <v>11999.25</v>
      </c>
    </row>
    <row r="436" spans="1:6" x14ac:dyDescent="0.45">
      <c r="A436" t="s">
        <v>23</v>
      </c>
      <c r="B436" t="s">
        <v>6</v>
      </c>
      <c r="C436" t="s">
        <v>29</v>
      </c>
      <c r="D436" t="s">
        <v>24</v>
      </c>
      <c r="E436" s="1">
        <v>44010</v>
      </c>
      <c r="F436" s="3">
        <v>1363.8</v>
      </c>
    </row>
    <row r="437" spans="1:6" x14ac:dyDescent="0.45">
      <c r="A437" t="s">
        <v>18</v>
      </c>
      <c r="B437" t="s">
        <v>12</v>
      </c>
      <c r="C437" t="s">
        <v>32</v>
      </c>
      <c r="D437" t="s">
        <v>13</v>
      </c>
      <c r="E437" s="1">
        <v>44010</v>
      </c>
      <c r="F437" s="3">
        <v>479.93999999999994</v>
      </c>
    </row>
    <row r="438" spans="1:6" x14ac:dyDescent="0.45">
      <c r="A438" t="s">
        <v>18</v>
      </c>
      <c r="B438" t="s">
        <v>6</v>
      </c>
      <c r="C438" t="s">
        <v>32</v>
      </c>
      <c r="D438" t="s">
        <v>10</v>
      </c>
      <c r="E438" s="1">
        <v>44010</v>
      </c>
      <c r="F438" s="3">
        <v>1704.75</v>
      </c>
    </row>
    <row r="439" spans="1:6" x14ac:dyDescent="0.45">
      <c r="A439" t="s">
        <v>11</v>
      </c>
      <c r="B439" t="s">
        <v>9</v>
      </c>
      <c r="C439" t="s">
        <v>30</v>
      </c>
      <c r="D439" t="s">
        <v>10</v>
      </c>
      <c r="E439" s="1">
        <v>44012</v>
      </c>
      <c r="F439" s="3">
        <v>5114.25</v>
      </c>
    </row>
    <row r="440" spans="1:6" x14ac:dyDescent="0.45">
      <c r="A440" t="s">
        <v>5</v>
      </c>
      <c r="B440" t="s">
        <v>6</v>
      </c>
      <c r="C440" t="s">
        <v>32</v>
      </c>
      <c r="D440" t="s">
        <v>10</v>
      </c>
      <c r="E440" s="1">
        <v>44012</v>
      </c>
      <c r="F440" s="3">
        <v>681.9</v>
      </c>
    </row>
    <row r="441" spans="1:6" x14ac:dyDescent="0.45">
      <c r="A441" t="s">
        <v>22</v>
      </c>
      <c r="B441" t="s">
        <v>12</v>
      </c>
      <c r="C441" t="s">
        <v>29</v>
      </c>
      <c r="D441" t="s">
        <v>13</v>
      </c>
      <c r="E441" s="1">
        <v>44013</v>
      </c>
      <c r="F441" s="3">
        <v>319.95999999999998</v>
      </c>
    </row>
    <row r="442" spans="1:6" x14ac:dyDescent="0.45">
      <c r="A442" t="s">
        <v>11</v>
      </c>
      <c r="B442" t="s">
        <v>9</v>
      </c>
      <c r="C442" t="s">
        <v>30</v>
      </c>
      <c r="D442" t="s">
        <v>7</v>
      </c>
      <c r="E442" s="1">
        <v>44013</v>
      </c>
      <c r="F442" s="3">
        <v>3068.5499999999997</v>
      </c>
    </row>
    <row r="443" spans="1:6" x14ac:dyDescent="0.45">
      <c r="A443" t="s">
        <v>16</v>
      </c>
      <c r="B443" t="s">
        <v>12</v>
      </c>
      <c r="C443" t="s">
        <v>29</v>
      </c>
      <c r="D443" t="s">
        <v>10</v>
      </c>
      <c r="E443" s="1">
        <v>44013</v>
      </c>
      <c r="F443" s="3">
        <v>639.91999999999996</v>
      </c>
    </row>
    <row r="444" spans="1:6" x14ac:dyDescent="0.45">
      <c r="A444" t="s">
        <v>19</v>
      </c>
      <c r="B444" t="s">
        <v>17</v>
      </c>
      <c r="C444" t="s">
        <v>29</v>
      </c>
      <c r="D444" t="s">
        <v>7</v>
      </c>
      <c r="E444" s="1">
        <v>44014</v>
      </c>
      <c r="F444" s="3">
        <v>7999.5</v>
      </c>
    </row>
    <row r="445" spans="1:6" x14ac:dyDescent="0.45">
      <c r="A445" t="s">
        <v>5</v>
      </c>
      <c r="B445" t="s">
        <v>12</v>
      </c>
      <c r="C445" t="s">
        <v>32</v>
      </c>
      <c r="D445" t="s">
        <v>13</v>
      </c>
      <c r="E445" s="1">
        <v>44015</v>
      </c>
      <c r="F445" s="3">
        <v>319.95999999999998</v>
      </c>
    </row>
    <row r="446" spans="1:6" x14ac:dyDescent="0.45">
      <c r="A446" t="s">
        <v>16</v>
      </c>
      <c r="B446" t="s">
        <v>9</v>
      </c>
      <c r="C446" t="s">
        <v>29</v>
      </c>
      <c r="D446" t="s">
        <v>21</v>
      </c>
      <c r="E446" s="1">
        <v>44015</v>
      </c>
      <c r="F446" s="3">
        <v>4432.3499999999995</v>
      </c>
    </row>
    <row r="447" spans="1:6" x14ac:dyDescent="0.45">
      <c r="A447" t="s">
        <v>11</v>
      </c>
      <c r="B447" t="s">
        <v>17</v>
      </c>
      <c r="C447" t="s">
        <v>30</v>
      </c>
      <c r="D447" t="s">
        <v>13</v>
      </c>
      <c r="E447" s="1">
        <v>44016</v>
      </c>
      <c r="F447" s="3">
        <v>8799.4500000000007</v>
      </c>
    </row>
    <row r="448" spans="1:6" x14ac:dyDescent="0.45">
      <c r="A448" t="s">
        <v>16</v>
      </c>
      <c r="B448" t="s">
        <v>6</v>
      </c>
      <c r="C448" t="s">
        <v>29</v>
      </c>
      <c r="D448" t="s">
        <v>21</v>
      </c>
      <c r="E448" s="1">
        <v>44016</v>
      </c>
      <c r="F448" s="3">
        <v>4773.3</v>
      </c>
    </row>
    <row r="449" spans="1:6" x14ac:dyDescent="0.45">
      <c r="A449" t="s">
        <v>11</v>
      </c>
      <c r="B449" t="s">
        <v>12</v>
      </c>
      <c r="C449" t="s">
        <v>30</v>
      </c>
      <c r="D449" t="s">
        <v>13</v>
      </c>
      <c r="E449" s="1">
        <v>44017</v>
      </c>
      <c r="F449" s="3">
        <v>479.93999999999994</v>
      </c>
    </row>
    <row r="450" spans="1:6" x14ac:dyDescent="0.45">
      <c r="A450" t="s">
        <v>15</v>
      </c>
      <c r="B450" t="s">
        <v>14</v>
      </c>
      <c r="C450" t="s">
        <v>31</v>
      </c>
      <c r="D450" t="s">
        <v>21</v>
      </c>
      <c r="E450" s="1">
        <v>44017</v>
      </c>
      <c r="F450" s="3">
        <v>1182.6499999999999</v>
      </c>
    </row>
    <row r="451" spans="1:6" x14ac:dyDescent="0.45">
      <c r="A451" t="s">
        <v>11</v>
      </c>
      <c r="B451" t="s">
        <v>17</v>
      </c>
      <c r="C451" t="s">
        <v>30</v>
      </c>
      <c r="D451" t="s">
        <v>21</v>
      </c>
      <c r="E451" s="1">
        <v>44017</v>
      </c>
      <c r="F451" s="3">
        <v>1599.9</v>
      </c>
    </row>
    <row r="452" spans="1:6" x14ac:dyDescent="0.45">
      <c r="A452" t="s">
        <v>16</v>
      </c>
      <c r="B452" t="s">
        <v>6</v>
      </c>
      <c r="C452" t="s">
        <v>29</v>
      </c>
      <c r="D452" t="s">
        <v>10</v>
      </c>
      <c r="E452" s="1">
        <v>44017</v>
      </c>
      <c r="F452" s="3">
        <v>4432.3499999999995</v>
      </c>
    </row>
    <row r="453" spans="1:6" x14ac:dyDescent="0.45">
      <c r="A453" t="s">
        <v>5</v>
      </c>
      <c r="B453" t="s">
        <v>14</v>
      </c>
      <c r="C453" t="s">
        <v>32</v>
      </c>
      <c r="D453" t="s">
        <v>7</v>
      </c>
      <c r="E453" s="1">
        <v>44017</v>
      </c>
      <c r="F453" s="3">
        <v>1351.6</v>
      </c>
    </row>
    <row r="454" spans="1:6" x14ac:dyDescent="0.45">
      <c r="A454" t="s">
        <v>25</v>
      </c>
      <c r="B454" t="s">
        <v>12</v>
      </c>
      <c r="C454" t="s">
        <v>32</v>
      </c>
      <c r="D454" t="s">
        <v>10</v>
      </c>
      <c r="E454" s="1">
        <v>44019</v>
      </c>
      <c r="F454" s="3">
        <v>799.9</v>
      </c>
    </row>
    <row r="455" spans="1:6" x14ac:dyDescent="0.45">
      <c r="A455" t="s">
        <v>5</v>
      </c>
      <c r="B455" t="s">
        <v>6</v>
      </c>
      <c r="C455" t="s">
        <v>32</v>
      </c>
      <c r="D455" t="s">
        <v>10</v>
      </c>
      <c r="E455" s="1">
        <v>44019</v>
      </c>
      <c r="F455" s="3">
        <v>2386.65</v>
      </c>
    </row>
    <row r="456" spans="1:6" x14ac:dyDescent="0.45">
      <c r="A456" t="s">
        <v>18</v>
      </c>
      <c r="B456" t="s">
        <v>12</v>
      </c>
      <c r="C456" t="s">
        <v>32</v>
      </c>
      <c r="D456" t="s">
        <v>24</v>
      </c>
      <c r="E456" s="1">
        <v>44019</v>
      </c>
      <c r="F456" s="3">
        <v>1199.8499999999999</v>
      </c>
    </row>
    <row r="457" spans="1:6" x14ac:dyDescent="0.45">
      <c r="A457" t="s">
        <v>26</v>
      </c>
      <c r="B457" t="s">
        <v>14</v>
      </c>
      <c r="C457" t="s">
        <v>30</v>
      </c>
      <c r="D457" t="s">
        <v>24</v>
      </c>
      <c r="E457" s="1">
        <v>44019</v>
      </c>
      <c r="F457" s="3">
        <v>506.84999999999997</v>
      </c>
    </row>
    <row r="458" spans="1:6" x14ac:dyDescent="0.45">
      <c r="A458" t="s">
        <v>16</v>
      </c>
      <c r="B458" t="s">
        <v>12</v>
      </c>
      <c r="C458" t="s">
        <v>29</v>
      </c>
      <c r="D458" t="s">
        <v>13</v>
      </c>
      <c r="E458" s="1">
        <v>44020</v>
      </c>
      <c r="F458" s="3">
        <v>239.96999999999997</v>
      </c>
    </row>
    <row r="459" spans="1:6" x14ac:dyDescent="0.45">
      <c r="A459" t="s">
        <v>23</v>
      </c>
      <c r="B459" t="s">
        <v>14</v>
      </c>
      <c r="C459" t="s">
        <v>29</v>
      </c>
      <c r="D459" t="s">
        <v>7</v>
      </c>
      <c r="E459" s="1">
        <v>44020</v>
      </c>
      <c r="F459" s="3">
        <v>2872.1499999999996</v>
      </c>
    </row>
    <row r="460" spans="1:6" x14ac:dyDescent="0.45">
      <c r="A460" t="s">
        <v>22</v>
      </c>
      <c r="B460" t="s">
        <v>12</v>
      </c>
      <c r="C460" t="s">
        <v>29</v>
      </c>
      <c r="D460" t="s">
        <v>21</v>
      </c>
      <c r="E460" s="1">
        <v>44020</v>
      </c>
      <c r="F460" s="3">
        <v>1119.8599999999999</v>
      </c>
    </row>
    <row r="461" spans="1:6" x14ac:dyDescent="0.45">
      <c r="A461" t="s">
        <v>8</v>
      </c>
      <c r="B461" t="s">
        <v>17</v>
      </c>
      <c r="C461" t="s">
        <v>31</v>
      </c>
      <c r="D461" t="s">
        <v>24</v>
      </c>
      <c r="E461" s="1">
        <v>44020</v>
      </c>
      <c r="F461" s="3">
        <v>3999.75</v>
      </c>
    </row>
    <row r="462" spans="1:6" x14ac:dyDescent="0.45">
      <c r="A462" t="s">
        <v>20</v>
      </c>
      <c r="B462" t="s">
        <v>17</v>
      </c>
      <c r="C462" t="s">
        <v>32</v>
      </c>
      <c r="D462" t="s">
        <v>7</v>
      </c>
      <c r="E462" s="1">
        <v>44021</v>
      </c>
      <c r="F462" s="3">
        <v>11999.25</v>
      </c>
    </row>
    <row r="463" spans="1:6" x14ac:dyDescent="0.45">
      <c r="A463" t="s">
        <v>20</v>
      </c>
      <c r="B463" t="s">
        <v>12</v>
      </c>
      <c r="C463" t="s">
        <v>32</v>
      </c>
      <c r="D463" t="s">
        <v>10</v>
      </c>
      <c r="E463" s="1">
        <v>44021</v>
      </c>
      <c r="F463" s="3">
        <v>959.87999999999988</v>
      </c>
    </row>
    <row r="464" spans="1:6" x14ac:dyDescent="0.45">
      <c r="A464" t="s">
        <v>15</v>
      </c>
      <c r="B464" t="s">
        <v>6</v>
      </c>
      <c r="C464" t="s">
        <v>31</v>
      </c>
      <c r="D464" t="s">
        <v>7</v>
      </c>
      <c r="E464" s="1">
        <v>44021</v>
      </c>
      <c r="F464" s="3">
        <v>2045.6999999999998</v>
      </c>
    </row>
    <row r="465" spans="1:6" x14ac:dyDescent="0.45">
      <c r="A465" t="s">
        <v>26</v>
      </c>
      <c r="B465" t="s">
        <v>6</v>
      </c>
      <c r="C465" t="s">
        <v>30</v>
      </c>
      <c r="D465" t="s">
        <v>7</v>
      </c>
      <c r="E465" s="1">
        <v>44022</v>
      </c>
      <c r="F465" s="3">
        <v>3068.5499999999997</v>
      </c>
    </row>
    <row r="466" spans="1:6" x14ac:dyDescent="0.45">
      <c r="A466" t="s">
        <v>26</v>
      </c>
      <c r="B466" t="s">
        <v>6</v>
      </c>
      <c r="C466" t="s">
        <v>30</v>
      </c>
      <c r="D466" t="s">
        <v>10</v>
      </c>
      <c r="E466" s="1">
        <v>44022</v>
      </c>
      <c r="F466" s="3">
        <v>2045.6999999999998</v>
      </c>
    </row>
    <row r="467" spans="1:6" x14ac:dyDescent="0.45">
      <c r="A467" t="s">
        <v>5</v>
      </c>
      <c r="B467" t="s">
        <v>14</v>
      </c>
      <c r="C467" t="s">
        <v>32</v>
      </c>
      <c r="D467" t="s">
        <v>24</v>
      </c>
      <c r="E467" s="1">
        <v>44023</v>
      </c>
      <c r="F467" s="3">
        <v>2365.2999999999997</v>
      </c>
    </row>
    <row r="468" spans="1:6" x14ac:dyDescent="0.45">
      <c r="A468" t="s">
        <v>11</v>
      </c>
      <c r="B468" t="s">
        <v>17</v>
      </c>
      <c r="C468" t="s">
        <v>30</v>
      </c>
      <c r="D468" t="s">
        <v>10</v>
      </c>
      <c r="E468" s="1">
        <v>44023</v>
      </c>
      <c r="F468" s="3">
        <v>5599.6500000000005</v>
      </c>
    </row>
    <row r="469" spans="1:6" x14ac:dyDescent="0.45">
      <c r="A469" t="s">
        <v>16</v>
      </c>
      <c r="B469" t="s">
        <v>14</v>
      </c>
      <c r="C469" t="s">
        <v>29</v>
      </c>
      <c r="D469" t="s">
        <v>10</v>
      </c>
      <c r="E469" s="1">
        <v>44023</v>
      </c>
      <c r="F469" s="3">
        <v>675.8</v>
      </c>
    </row>
    <row r="470" spans="1:6" x14ac:dyDescent="0.45">
      <c r="A470" t="s">
        <v>18</v>
      </c>
      <c r="B470" t="s">
        <v>6</v>
      </c>
      <c r="C470" t="s">
        <v>32</v>
      </c>
      <c r="D470" t="s">
        <v>7</v>
      </c>
      <c r="E470" s="1">
        <v>44024</v>
      </c>
      <c r="F470" s="3">
        <v>3068.5499999999997</v>
      </c>
    </row>
    <row r="471" spans="1:6" x14ac:dyDescent="0.45">
      <c r="A471" t="s">
        <v>11</v>
      </c>
      <c r="B471" t="s">
        <v>14</v>
      </c>
      <c r="C471" t="s">
        <v>30</v>
      </c>
      <c r="D471" t="s">
        <v>7</v>
      </c>
      <c r="E471" s="1">
        <v>44024</v>
      </c>
      <c r="F471" s="3">
        <v>2196.35</v>
      </c>
    </row>
    <row r="472" spans="1:6" x14ac:dyDescent="0.45">
      <c r="A472" t="s">
        <v>18</v>
      </c>
      <c r="B472" t="s">
        <v>17</v>
      </c>
      <c r="C472" t="s">
        <v>32</v>
      </c>
      <c r="D472" t="s">
        <v>7</v>
      </c>
      <c r="E472" s="1">
        <v>44025</v>
      </c>
      <c r="F472" s="3">
        <v>11199.300000000001</v>
      </c>
    </row>
    <row r="473" spans="1:6" x14ac:dyDescent="0.45">
      <c r="A473" t="s">
        <v>15</v>
      </c>
      <c r="B473" t="s">
        <v>17</v>
      </c>
      <c r="C473" t="s">
        <v>31</v>
      </c>
      <c r="D473" t="s">
        <v>21</v>
      </c>
      <c r="E473" s="1">
        <v>44025</v>
      </c>
      <c r="F473" s="3">
        <v>2399.8500000000004</v>
      </c>
    </row>
    <row r="474" spans="1:6" x14ac:dyDescent="0.45">
      <c r="A474" t="s">
        <v>8</v>
      </c>
      <c r="B474" t="s">
        <v>9</v>
      </c>
      <c r="C474" t="s">
        <v>31</v>
      </c>
      <c r="D474" t="s">
        <v>21</v>
      </c>
      <c r="E474" s="1">
        <v>44025</v>
      </c>
      <c r="F474" s="3">
        <v>4773.3</v>
      </c>
    </row>
    <row r="475" spans="1:6" x14ac:dyDescent="0.45">
      <c r="A475" t="s">
        <v>19</v>
      </c>
      <c r="B475" t="s">
        <v>12</v>
      </c>
      <c r="C475" t="s">
        <v>29</v>
      </c>
      <c r="D475" t="s">
        <v>10</v>
      </c>
      <c r="E475" s="1">
        <v>44027</v>
      </c>
      <c r="F475" s="3">
        <v>639.91999999999996</v>
      </c>
    </row>
    <row r="476" spans="1:6" x14ac:dyDescent="0.45">
      <c r="A476" t="s">
        <v>19</v>
      </c>
      <c r="B476" t="s">
        <v>12</v>
      </c>
      <c r="C476" t="s">
        <v>29</v>
      </c>
      <c r="D476" t="s">
        <v>10</v>
      </c>
      <c r="E476" s="1">
        <v>44027</v>
      </c>
      <c r="F476" s="3">
        <v>959.87999999999988</v>
      </c>
    </row>
    <row r="477" spans="1:6" x14ac:dyDescent="0.45">
      <c r="A477" t="s">
        <v>11</v>
      </c>
      <c r="B477" t="s">
        <v>12</v>
      </c>
      <c r="C477" t="s">
        <v>30</v>
      </c>
      <c r="D477" t="s">
        <v>24</v>
      </c>
      <c r="E477" s="1">
        <v>44027</v>
      </c>
      <c r="F477" s="3">
        <v>239.96999999999997</v>
      </c>
    </row>
    <row r="478" spans="1:6" x14ac:dyDescent="0.45">
      <c r="A478" t="s">
        <v>25</v>
      </c>
      <c r="B478" t="s">
        <v>6</v>
      </c>
      <c r="C478" t="s">
        <v>30</v>
      </c>
      <c r="D478" t="s">
        <v>13</v>
      </c>
      <c r="E478" s="1">
        <v>44028</v>
      </c>
      <c r="F478" s="3">
        <v>2045.6999999999998</v>
      </c>
    </row>
    <row r="479" spans="1:6" x14ac:dyDescent="0.45">
      <c r="A479" t="s">
        <v>18</v>
      </c>
      <c r="B479" t="s">
        <v>12</v>
      </c>
      <c r="C479" t="s">
        <v>32</v>
      </c>
      <c r="D479" t="s">
        <v>13</v>
      </c>
      <c r="E479" s="1">
        <v>44028</v>
      </c>
      <c r="F479" s="3">
        <v>159.97999999999999</v>
      </c>
    </row>
    <row r="480" spans="1:6" x14ac:dyDescent="0.45">
      <c r="A480" t="s">
        <v>18</v>
      </c>
      <c r="B480" t="s">
        <v>9</v>
      </c>
      <c r="C480" t="s">
        <v>32</v>
      </c>
      <c r="D480" t="s">
        <v>10</v>
      </c>
      <c r="E480" s="1">
        <v>44028</v>
      </c>
      <c r="F480" s="3">
        <v>4432.3499999999995</v>
      </c>
    </row>
    <row r="481" spans="1:6" x14ac:dyDescent="0.45">
      <c r="A481" t="s">
        <v>23</v>
      </c>
      <c r="B481" t="s">
        <v>12</v>
      </c>
      <c r="C481" t="s">
        <v>29</v>
      </c>
      <c r="D481" t="s">
        <v>13</v>
      </c>
      <c r="E481" s="1">
        <v>44028</v>
      </c>
      <c r="F481" s="3">
        <v>1199.8499999999999</v>
      </c>
    </row>
    <row r="482" spans="1:6" x14ac:dyDescent="0.45">
      <c r="A482" t="s">
        <v>11</v>
      </c>
      <c r="B482" t="s">
        <v>14</v>
      </c>
      <c r="C482" t="s">
        <v>30</v>
      </c>
      <c r="D482" t="s">
        <v>21</v>
      </c>
      <c r="E482" s="1">
        <v>44028</v>
      </c>
      <c r="F482" s="3">
        <v>675.8</v>
      </c>
    </row>
    <row r="483" spans="1:6" x14ac:dyDescent="0.45">
      <c r="A483" t="s">
        <v>5</v>
      </c>
      <c r="B483" t="s">
        <v>6</v>
      </c>
      <c r="C483" t="s">
        <v>32</v>
      </c>
      <c r="D483" t="s">
        <v>24</v>
      </c>
      <c r="E483" s="1">
        <v>44029</v>
      </c>
      <c r="F483" s="3">
        <v>681.9</v>
      </c>
    </row>
    <row r="484" spans="1:6" x14ac:dyDescent="0.45">
      <c r="A484" t="s">
        <v>18</v>
      </c>
      <c r="B484" t="s">
        <v>12</v>
      </c>
      <c r="C484" t="s">
        <v>32</v>
      </c>
      <c r="D484" t="s">
        <v>21</v>
      </c>
      <c r="E484" s="1">
        <v>44029</v>
      </c>
      <c r="F484" s="3">
        <v>959.87999999999988</v>
      </c>
    </row>
    <row r="485" spans="1:6" x14ac:dyDescent="0.45">
      <c r="A485" t="s">
        <v>25</v>
      </c>
      <c r="B485" t="s">
        <v>6</v>
      </c>
      <c r="C485" t="s">
        <v>30</v>
      </c>
      <c r="D485" t="s">
        <v>10</v>
      </c>
      <c r="E485" s="1">
        <v>44029</v>
      </c>
      <c r="F485" s="3">
        <v>681.9</v>
      </c>
    </row>
    <row r="486" spans="1:6" x14ac:dyDescent="0.45">
      <c r="A486" t="s">
        <v>22</v>
      </c>
      <c r="B486" t="s">
        <v>12</v>
      </c>
      <c r="C486" t="s">
        <v>29</v>
      </c>
      <c r="D486" t="s">
        <v>7</v>
      </c>
      <c r="E486" s="1">
        <v>44030</v>
      </c>
      <c r="F486" s="3">
        <v>639.91999999999996</v>
      </c>
    </row>
    <row r="487" spans="1:6" x14ac:dyDescent="0.45">
      <c r="A487" t="s">
        <v>26</v>
      </c>
      <c r="B487" t="s">
        <v>9</v>
      </c>
      <c r="C487" t="s">
        <v>30</v>
      </c>
      <c r="D487" t="s">
        <v>10</v>
      </c>
      <c r="E487" s="1">
        <v>44030</v>
      </c>
      <c r="F487" s="3">
        <v>1704.75</v>
      </c>
    </row>
    <row r="488" spans="1:6" x14ac:dyDescent="0.45">
      <c r="A488" t="s">
        <v>18</v>
      </c>
      <c r="B488" t="s">
        <v>9</v>
      </c>
      <c r="C488" t="s">
        <v>32</v>
      </c>
      <c r="D488" t="s">
        <v>24</v>
      </c>
      <c r="E488" s="1">
        <v>44030</v>
      </c>
      <c r="F488" s="3">
        <v>1022.8499999999999</v>
      </c>
    </row>
    <row r="489" spans="1:6" x14ac:dyDescent="0.45">
      <c r="A489" t="s">
        <v>8</v>
      </c>
      <c r="B489" t="s">
        <v>6</v>
      </c>
      <c r="C489" t="s">
        <v>31</v>
      </c>
      <c r="D489" t="s">
        <v>21</v>
      </c>
      <c r="E489" s="1">
        <v>44031</v>
      </c>
      <c r="F489" s="3">
        <v>681.9</v>
      </c>
    </row>
    <row r="490" spans="1:6" x14ac:dyDescent="0.45">
      <c r="A490" t="s">
        <v>5</v>
      </c>
      <c r="B490" t="s">
        <v>12</v>
      </c>
      <c r="C490" t="s">
        <v>32</v>
      </c>
      <c r="D490" t="s">
        <v>21</v>
      </c>
      <c r="E490" s="1">
        <v>44031</v>
      </c>
      <c r="F490" s="3">
        <v>239.96999999999997</v>
      </c>
    </row>
    <row r="491" spans="1:6" x14ac:dyDescent="0.45">
      <c r="A491" t="s">
        <v>18</v>
      </c>
      <c r="B491" t="s">
        <v>17</v>
      </c>
      <c r="C491" t="s">
        <v>32</v>
      </c>
      <c r="D491" t="s">
        <v>13</v>
      </c>
      <c r="E491" s="1">
        <v>44032</v>
      </c>
      <c r="F491" s="3">
        <v>11199.300000000001</v>
      </c>
    </row>
    <row r="492" spans="1:6" x14ac:dyDescent="0.45">
      <c r="A492" t="s">
        <v>16</v>
      </c>
      <c r="B492" t="s">
        <v>6</v>
      </c>
      <c r="C492" t="s">
        <v>29</v>
      </c>
      <c r="D492" t="s">
        <v>10</v>
      </c>
      <c r="E492" s="1">
        <v>44032</v>
      </c>
      <c r="F492" s="3">
        <v>4432.3499999999995</v>
      </c>
    </row>
    <row r="493" spans="1:6" x14ac:dyDescent="0.45">
      <c r="A493" t="s">
        <v>20</v>
      </c>
      <c r="B493" t="s">
        <v>17</v>
      </c>
      <c r="C493" t="s">
        <v>32</v>
      </c>
      <c r="D493" t="s">
        <v>13</v>
      </c>
      <c r="E493" s="1">
        <v>44035</v>
      </c>
      <c r="F493" s="3">
        <v>1599.9</v>
      </c>
    </row>
    <row r="494" spans="1:6" x14ac:dyDescent="0.45">
      <c r="A494" t="s">
        <v>26</v>
      </c>
      <c r="B494" t="s">
        <v>17</v>
      </c>
      <c r="C494" t="s">
        <v>30</v>
      </c>
      <c r="D494" t="s">
        <v>21</v>
      </c>
      <c r="E494" s="1">
        <v>44035</v>
      </c>
      <c r="F494" s="3">
        <v>11999.25</v>
      </c>
    </row>
    <row r="495" spans="1:6" x14ac:dyDescent="0.45">
      <c r="A495" t="s">
        <v>5</v>
      </c>
      <c r="B495" t="s">
        <v>6</v>
      </c>
      <c r="C495" t="s">
        <v>32</v>
      </c>
      <c r="D495" t="s">
        <v>21</v>
      </c>
      <c r="E495" s="1">
        <v>44035</v>
      </c>
      <c r="F495" s="3">
        <v>4432.3499999999995</v>
      </c>
    </row>
    <row r="496" spans="1:6" x14ac:dyDescent="0.45">
      <c r="A496" t="s">
        <v>8</v>
      </c>
      <c r="B496" t="s">
        <v>12</v>
      </c>
      <c r="C496" t="s">
        <v>31</v>
      </c>
      <c r="D496" t="s">
        <v>10</v>
      </c>
      <c r="E496" s="1">
        <v>44035</v>
      </c>
      <c r="F496" s="3">
        <v>1039.8699999999999</v>
      </c>
    </row>
    <row r="497" spans="1:6" x14ac:dyDescent="0.45">
      <c r="A497" t="s">
        <v>22</v>
      </c>
      <c r="B497" t="s">
        <v>14</v>
      </c>
      <c r="C497" t="s">
        <v>29</v>
      </c>
      <c r="D497" t="s">
        <v>13</v>
      </c>
      <c r="E497" s="1">
        <v>44035</v>
      </c>
      <c r="F497" s="3">
        <v>337.9</v>
      </c>
    </row>
    <row r="498" spans="1:6" x14ac:dyDescent="0.45">
      <c r="A498" t="s">
        <v>26</v>
      </c>
      <c r="B498" t="s">
        <v>14</v>
      </c>
      <c r="C498" t="s">
        <v>30</v>
      </c>
      <c r="D498" t="s">
        <v>13</v>
      </c>
      <c r="E498" s="1">
        <v>44035</v>
      </c>
      <c r="F498" s="3">
        <v>337.9</v>
      </c>
    </row>
    <row r="499" spans="1:6" x14ac:dyDescent="0.45">
      <c r="A499" t="s">
        <v>11</v>
      </c>
      <c r="B499" t="s">
        <v>14</v>
      </c>
      <c r="C499" t="s">
        <v>30</v>
      </c>
      <c r="D499" t="s">
        <v>7</v>
      </c>
      <c r="E499" s="1">
        <v>44036</v>
      </c>
      <c r="F499" s="3">
        <v>1182.6499999999999</v>
      </c>
    </row>
    <row r="500" spans="1:6" x14ac:dyDescent="0.45">
      <c r="A500" t="s">
        <v>8</v>
      </c>
      <c r="B500" t="s">
        <v>6</v>
      </c>
      <c r="C500" t="s">
        <v>31</v>
      </c>
      <c r="D500" t="s">
        <v>21</v>
      </c>
      <c r="E500" s="1">
        <v>44036</v>
      </c>
      <c r="F500" s="3">
        <v>3068.5499999999997</v>
      </c>
    </row>
    <row r="501" spans="1:6" x14ac:dyDescent="0.45">
      <c r="A501" t="s">
        <v>18</v>
      </c>
      <c r="B501" t="s">
        <v>9</v>
      </c>
      <c r="C501" t="s">
        <v>32</v>
      </c>
      <c r="D501" t="s">
        <v>24</v>
      </c>
      <c r="E501" s="1">
        <v>44036</v>
      </c>
      <c r="F501" s="3">
        <v>2386.65</v>
      </c>
    </row>
    <row r="502" spans="1:6" x14ac:dyDescent="0.45">
      <c r="A502" t="s">
        <v>22</v>
      </c>
      <c r="B502" t="s">
        <v>12</v>
      </c>
      <c r="C502" t="s">
        <v>29</v>
      </c>
      <c r="D502" t="s">
        <v>24</v>
      </c>
      <c r="E502" s="1">
        <v>44036</v>
      </c>
      <c r="F502" s="3">
        <v>159.97999999999999</v>
      </c>
    </row>
    <row r="503" spans="1:6" x14ac:dyDescent="0.45">
      <c r="A503" t="s">
        <v>23</v>
      </c>
      <c r="B503" t="s">
        <v>9</v>
      </c>
      <c r="C503" t="s">
        <v>29</v>
      </c>
      <c r="D503" t="s">
        <v>13</v>
      </c>
      <c r="E503" s="1">
        <v>44037</v>
      </c>
      <c r="F503" s="3">
        <v>4773.3</v>
      </c>
    </row>
    <row r="504" spans="1:6" x14ac:dyDescent="0.45">
      <c r="A504" t="s">
        <v>19</v>
      </c>
      <c r="B504" t="s">
        <v>6</v>
      </c>
      <c r="C504" t="s">
        <v>29</v>
      </c>
      <c r="D504" t="s">
        <v>24</v>
      </c>
      <c r="E504" s="1">
        <v>44037</v>
      </c>
      <c r="F504" s="3">
        <v>2045.6999999999998</v>
      </c>
    </row>
    <row r="505" spans="1:6" x14ac:dyDescent="0.45">
      <c r="A505" t="s">
        <v>5</v>
      </c>
      <c r="B505" t="s">
        <v>12</v>
      </c>
      <c r="C505" t="s">
        <v>32</v>
      </c>
      <c r="D505" t="s">
        <v>13</v>
      </c>
      <c r="E505" s="1">
        <v>44038</v>
      </c>
      <c r="F505" s="3">
        <v>719.91</v>
      </c>
    </row>
    <row r="506" spans="1:6" x14ac:dyDescent="0.45">
      <c r="A506" t="s">
        <v>15</v>
      </c>
      <c r="B506" t="s">
        <v>6</v>
      </c>
      <c r="C506" t="s">
        <v>31</v>
      </c>
      <c r="D506" t="s">
        <v>7</v>
      </c>
      <c r="E506" s="1">
        <v>44038</v>
      </c>
      <c r="F506" s="3">
        <v>4091.3999999999996</v>
      </c>
    </row>
    <row r="507" spans="1:6" x14ac:dyDescent="0.45">
      <c r="A507" t="s">
        <v>5</v>
      </c>
      <c r="B507" t="s">
        <v>14</v>
      </c>
      <c r="C507" t="s">
        <v>32</v>
      </c>
      <c r="D507" t="s">
        <v>7</v>
      </c>
      <c r="E507" s="1">
        <v>44038</v>
      </c>
      <c r="F507" s="3">
        <v>2872.1499999999996</v>
      </c>
    </row>
    <row r="508" spans="1:6" x14ac:dyDescent="0.45">
      <c r="A508" t="s">
        <v>22</v>
      </c>
      <c r="B508" t="s">
        <v>17</v>
      </c>
      <c r="C508" t="s">
        <v>29</v>
      </c>
      <c r="D508" t="s">
        <v>10</v>
      </c>
      <c r="E508" s="1">
        <v>44039</v>
      </c>
      <c r="F508" s="3">
        <v>1599.9</v>
      </c>
    </row>
    <row r="509" spans="1:6" x14ac:dyDescent="0.45">
      <c r="A509" t="s">
        <v>26</v>
      </c>
      <c r="B509" t="s">
        <v>17</v>
      </c>
      <c r="C509" t="s">
        <v>30</v>
      </c>
      <c r="D509" t="s">
        <v>10</v>
      </c>
      <c r="E509" s="1">
        <v>44040</v>
      </c>
      <c r="F509" s="3">
        <v>7999.5</v>
      </c>
    </row>
    <row r="510" spans="1:6" x14ac:dyDescent="0.45">
      <c r="A510" t="s">
        <v>16</v>
      </c>
      <c r="B510" t="s">
        <v>9</v>
      </c>
      <c r="C510" t="s">
        <v>29</v>
      </c>
      <c r="D510" t="s">
        <v>10</v>
      </c>
      <c r="E510" s="1">
        <v>44040</v>
      </c>
      <c r="F510" s="3">
        <v>4773.3</v>
      </c>
    </row>
    <row r="511" spans="1:6" x14ac:dyDescent="0.45">
      <c r="A511" t="s">
        <v>18</v>
      </c>
      <c r="B511" t="s">
        <v>9</v>
      </c>
      <c r="C511" t="s">
        <v>32</v>
      </c>
      <c r="D511" t="s">
        <v>13</v>
      </c>
      <c r="E511" s="1">
        <v>44041</v>
      </c>
      <c r="F511" s="3">
        <v>1022.8499999999999</v>
      </c>
    </row>
    <row r="512" spans="1:6" x14ac:dyDescent="0.45">
      <c r="A512" t="s">
        <v>20</v>
      </c>
      <c r="B512" t="s">
        <v>17</v>
      </c>
      <c r="C512" t="s">
        <v>32</v>
      </c>
      <c r="D512" t="s">
        <v>24</v>
      </c>
      <c r="E512" s="1">
        <v>44041</v>
      </c>
      <c r="F512" s="3">
        <v>7199.55</v>
      </c>
    </row>
    <row r="513" spans="1:6" x14ac:dyDescent="0.45">
      <c r="A513" t="s">
        <v>26</v>
      </c>
      <c r="B513" t="s">
        <v>6</v>
      </c>
      <c r="C513" t="s">
        <v>30</v>
      </c>
      <c r="D513" t="s">
        <v>13</v>
      </c>
      <c r="E513" s="1">
        <v>44041</v>
      </c>
      <c r="F513" s="3">
        <v>3068.5499999999997</v>
      </c>
    </row>
    <row r="514" spans="1:6" x14ac:dyDescent="0.45">
      <c r="A514" t="s">
        <v>18</v>
      </c>
      <c r="B514" t="s">
        <v>12</v>
      </c>
      <c r="C514" t="s">
        <v>32</v>
      </c>
      <c r="D514" t="s">
        <v>21</v>
      </c>
      <c r="E514" s="1">
        <v>44041</v>
      </c>
      <c r="F514" s="3">
        <v>799.9</v>
      </c>
    </row>
    <row r="515" spans="1:6" x14ac:dyDescent="0.45">
      <c r="A515" t="s">
        <v>16</v>
      </c>
      <c r="B515" t="s">
        <v>14</v>
      </c>
      <c r="C515" t="s">
        <v>29</v>
      </c>
      <c r="D515" t="s">
        <v>7</v>
      </c>
      <c r="E515" s="1">
        <v>44042</v>
      </c>
      <c r="F515" s="3">
        <v>2027.3999999999999</v>
      </c>
    </row>
    <row r="516" spans="1:6" x14ac:dyDescent="0.45">
      <c r="A516" t="s">
        <v>8</v>
      </c>
      <c r="B516" t="s">
        <v>14</v>
      </c>
      <c r="C516" t="s">
        <v>31</v>
      </c>
      <c r="D516" t="s">
        <v>21</v>
      </c>
      <c r="E516" s="1">
        <v>44042</v>
      </c>
      <c r="F516" s="3">
        <v>1351.6</v>
      </c>
    </row>
    <row r="517" spans="1:6" x14ac:dyDescent="0.45">
      <c r="A517" t="s">
        <v>22</v>
      </c>
      <c r="B517" t="s">
        <v>9</v>
      </c>
      <c r="C517" t="s">
        <v>29</v>
      </c>
      <c r="D517" t="s">
        <v>7</v>
      </c>
      <c r="E517" s="1">
        <v>44043</v>
      </c>
      <c r="F517" s="3">
        <v>4091.3999999999996</v>
      </c>
    </row>
    <row r="518" spans="1:6" x14ac:dyDescent="0.45">
      <c r="A518" t="s">
        <v>5</v>
      </c>
      <c r="B518" t="s">
        <v>12</v>
      </c>
      <c r="C518" t="s">
        <v>32</v>
      </c>
      <c r="D518" t="s">
        <v>10</v>
      </c>
      <c r="E518" s="1">
        <v>44043</v>
      </c>
      <c r="F518" s="3">
        <v>799.9</v>
      </c>
    </row>
    <row r="519" spans="1:6" x14ac:dyDescent="0.45">
      <c r="A519" t="s">
        <v>19</v>
      </c>
      <c r="B519" t="s">
        <v>12</v>
      </c>
      <c r="C519" t="s">
        <v>29</v>
      </c>
      <c r="D519" t="s">
        <v>7</v>
      </c>
      <c r="E519" s="1">
        <v>44043</v>
      </c>
      <c r="F519" s="3">
        <v>639.91999999999996</v>
      </c>
    </row>
    <row r="520" spans="1:6" x14ac:dyDescent="0.45">
      <c r="A520" t="s">
        <v>20</v>
      </c>
      <c r="B520" t="s">
        <v>9</v>
      </c>
      <c r="C520" t="s">
        <v>32</v>
      </c>
      <c r="D520" t="s">
        <v>7</v>
      </c>
      <c r="E520" s="1">
        <v>44044</v>
      </c>
      <c r="F520" s="3">
        <v>3750.45</v>
      </c>
    </row>
    <row r="521" spans="1:6" x14ac:dyDescent="0.45">
      <c r="A521" t="s">
        <v>26</v>
      </c>
      <c r="B521" t="s">
        <v>12</v>
      </c>
      <c r="C521" t="s">
        <v>30</v>
      </c>
      <c r="D521" t="s">
        <v>24</v>
      </c>
      <c r="E521" s="1">
        <v>44044</v>
      </c>
      <c r="F521" s="3">
        <v>719.91</v>
      </c>
    </row>
    <row r="522" spans="1:6" x14ac:dyDescent="0.45">
      <c r="A522" t="s">
        <v>5</v>
      </c>
      <c r="B522" t="s">
        <v>6</v>
      </c>
      <c r="C522" t="s">
        <v>32</v>
      </c>
      <c r="D522" t="s">
        <v>13</v>
      </c>
      <c r="E522" s="1">
        <v>44045</v>
      </c>
      <c r="F522" s="3">
        <v>3409.5</v>
      </c>
    </row>
    <row r="523" spans="1:6" x14ac:dyDescent="0.45">
      <c r="A523" t="s">
        <v>5</v>
      </c>
      <c r="B523" t="s">
        <v>17</v>
      </c>
      <c r="C523" t="s">
        <v>32</v>
      </c>
      <c r="D523" t="s">
        <v>10</v>
      </c>
      <c r="E523" s="1">
        <v>44045</v>
      </c>
      <c r="F523" s="3">
        <v>5599.6500000000005</v>
      </c>
    </row>
    <row r="524" spans="1:6" x14ac:dyDescent="0.45">
      <c r="A524" t="s">
        <v>22</v>
      </c>
      <c r="B524" t="s">
        <v>17</v>
      </c>
      <c r="C524" t="s">
        <v>29</v>
      </c>
      <c r="D524" t="s">
        <v>24</v>
      </c>
      <c r="E524" s="1">
        <v>44045</v>
      </c>
      <c r="F524" s="3">
        <v>3999.75</v>
      </c>
    </row>
    <row r="525" spans="1:6" x14ac:dyDescent="0.45">
      <c r="A525" t="s">
        <v>11</v>
      </c>
      <c r="B525" t="s">
        <v>6</v>
      </c>
      <c r="C525" t="s">
        <v>30</v>
      </c>
      <c r="D525" t="s">
        <v>10</v>
      </c>
      <c r="E525" s="1">
        <v>44047</v>
      </c>
      <c r="F525" s="3">
        <v>2727.6</v>
      </c>
    </row>
    <row r="526" spans="1:6" x14ac:dyDescent="0.45">
      <c r="A526" t="s">
        <v>25</v>
      </c>
      <c r="B526" t="s">
        <v>6</v>
      </c>
      <c r="C526" t="s">
        <v>30</v>
      </c>
      <c r="D526" t="s">
        <v>7</v>
      </c>
      <c r="E526" s="1">
        <v>44048</v>
      </c>
      <c r="F526" s="3">
        <v>5114.25</v>
      </c>
    </row>
    <row r="527" spans="1:6" x14ac:dyDescent="0.45">
      <c r="A527" t="s">
        <v>11</v>
      </c>
      <c r="B527" t="s">
        <v>14</v>
      </c>
      <c r="C527" t="s">
        <v>30</v>
      </c>
      <c r="D527" t="s">
        <v>7</v>
      </c>
      <c r="E527" s="1">
        <v>44048</v>
      </c>
      <c r="F527" s="3">
        <v>3379</v>
      </c>
    </row>
    <row r="528" spans="1:6" x14ac:dyDescent="0.45">
      <c r="A528" t="s">
        <v>22</v>
      </c>
      <c r="B528" t="s">
        <v>9</v>
      </c>
      <c r="C528" t="s">
        <v>29</v>
      </c>
      <c r="D528" t="s">
        <v>10</v>
      </c>
      <c r="E528" s="1">
        <v>44048</v>
      </c>
      <c r="F528" s="3">
        <v>3409.5</v>
      </c>
    </row>
    <row r="529" spans="1:6" x14ac:dyDescent="0.45">
      <c r="A529" t="s">
        <v>11</v>
      </c>
      <c r="B529" t="s">
        <v>14</v>
      </c>
      <c r="C529" t="s">
        <v>30</v>
      </c>
      <c r="D529" t="s">
        <v>24</v>
      </c>
      <c r="E529" s="1">
        <v>44048</v>
      </c>
      <c r="F529" s="3">
        <v>844.75</v>
      </c>
    </row>
    <row r="530" spans="1:6" x14ac:dyDescent="0.45">
      <c r="A530" t="s">
        <v>20</v>
      </c>
      <c r="B530" t="s">
        <v>9</v>
      </c>
      <c r="C530" t="s">
        <v>32</v>
      </c>
      <c r="D530" t="s">
        <v>7</v>
      </c>
      <c r="E530" s="1">
        <v>44049</v>
      </c>
      <c r="F530" s="3">
        <v>2386.65</v>
      </c>
    </row>
    <row r="531" spans="1:6" x14ac:dyDescent="0.45">
      <c r="A531" t="s">
        <v>8</v>
      </c>
      <c r="B531" t="s">
        <v>9</v>
      </c>
      <c r="C531" t="s">
        <v>31</v>
      </c>
      <c r="D531" t="s">
        <v>21</v>
      </c>
      <c r="E531" s="1">
        <v>44049</v>
      </c>
      <c r="F531" s="3">
        <v>1363.8</v>
      </c>
    </row>
    <row r="532" spans="1:6" x14ac:dyDescent="0.45">
      <c r="A532" t="s">
        <v>18</v>
      </c>
      <c r="B532" t="s">
        <v>14</v>
      </c>
      <c r="C532" t="s">
        <v>32</v>
      </c>
      <c r="D532" t="s">
        <v>24</v>
      </c>
      <c r="E532" s="1">
        <v>44049</v>
      </c>
      <c r="F532" s="3">
        <v>2534.25</v>
      </c>
    </row>
    <row r="533" spans="1:6" x14ac:dyDescent="0.45">
      <c r="A533" t="s">
        <v>18</v>
      </c>
      <c r="B533" t="s">
        <v>17</v>
      </c>
      <c r="C533" t="s">
        <v>32</v>
      </c>
      <c r="D533" t="s">
        <v>13</v>
      </c>
      <c r="E533" s="1">
        <v>44050</v>
      </c>
      <c r="F533" s="3">
        <v>6399.6</v>
      </c>
    </row>
    <row r="534" spans="1:6" x14ac:dyDescent="0.45">
      <c r="A534" t="s">
        <v>16</v>
      </c>
      <c r="B534" t="s">
        <v>17</v>
      </c>
      <c r="C534" t="s">
        <v>29</v>
      </c>
      <c r="D534" t="s">
        <v>10</v>
      </c>
      <c r="E534" s="1">
        <v>44050</v>
      </c>
      <c r="F534" s="3">
        <v>3999.75</v>
      </c>
    </row>
    <row r="535" spans="1:6" x14ac:dyDescent="0.45">
      <c r="A535" t="s">
        <v>19</v>
      </c>
      <c r="B535" t="s">
        <v>6</v>
      </c>
      <c r="C535" t="s">
        <v>29</v>
      </c>
      <c r="D535" t="s">
        <v>13</v>
      </c>
      <c r="E535" s="1">
        <v>44050</v>
      </c>
      <c r="F535" s="3">
        <v>3409.5</v>
      </c>
    </row>
    <row r="536" spans="1:6" x14ac:dyDescent="0.45">
      <c r="A536" t="s">
        <v>22</v>
      </c>
      <c r="B536" t="s">
        <v>12</v>
      </c>
      <c r="C536" t="s">
        <v>29</v>
      </c>
      <c r="D536" t="s">
        <v>10</v>
      </c>
      <c r="E536" s="1">
        <v>44050</v>
      </c>
      <c r="F536" s="3">
        <v>239.96999999999997</v>
      </c>
    </row>
    <row r="537" spans="1:6" x14ac:dyDescent="0.45">
      <c r="A537" t="s">
        <v>26</v>
      </c>
      <c r="B537" t="s">
        <v>6</v>
      </c>
      <c r="C537" t="s">
        <v>30</v>
      </c>
      <c r="D537" t="s">
        <v>7</v>
      </c>
      <c r="E537" s="1">
        <v>44051</v>
      </c>
      <c r="F537" s="3">
        <v>5455.2</v>
      </c>
    </row>
    <row r="538" spans="1:6" x14ac:dyDescent="0.45">
      <c r="A538" t="s">
        <v>8</v>
      </c>
      <c r="B538" t="s">
        <v>9</v>
      </c>
      <c r="C538" t="s">
        <v>31</v>
      </c>
      <c r="D538" t="s">
        <v>13</v>
      </c>
      <c r="E538" s="1">
        <v>44052</v>
      </c>
      <c r="F538" s="3">
        <v>4773.3</v>
      </c>
    </row>
    <row r="539" spans="1:6" x14ac:dyDescent="0.45">
      <c r="A539" t="s">
        <v>26</v>
      </c>
      <c r="B539" t="s">
        <v>9</v>
      </c>
      <c r="C539" t="s">
        <v>30</v>
      </c>
      <c r="D539" t="s">
        <v>24</v>
      </c>
      <c r="E539" s="1">
        <v>44052</v>
      </c>
      <c r="F539" s="3">
        <v>681.9</v>
      </c>
    </row>
    <row r="540" spans="1:6" x14ac:dyDescent="0.45">
      <c r="A540" t="s">
        <v>15</v>
      </c>
      <c r="B540" t="s">
        <v>12</v>
      </c>
      <c r="C540" t="s">
        <v>31</v>
      </c>
      <c r="D540" t="s">
        <v>13</v>
      </c>
      <c r="E540" s="1">
        <v>44052</v>
      </c>
      <c r="F540" s="3">
        <v>639.91999999999996</v>
      </c>
    </row>
    <row r="541" spans="1:6" x14ac:dyDescent="0.45">
      <c r="A541" t="s">
        <v>11</v>
      </c>
      <c r="B541" t="s">
        <v>9</v>
      </c>
      <c r="C541" t="s">
        <v>30</v>
      </c>
      <c r="D541" t="s">
        <v>10</v>
      </c>
      <c r="E541" s="1">
        <v>44052</v>
      </c>
      <c r="F541" s="3">
        <v>1704.75</v>
      </c>
    </row>
    <row r="542" spans="1:6" x14ac:dyDescent="0.45">
      <c r="A542" t="s">
        <v>20</v>
      </c>
      <c r="B542" t="s">
        <v>14</v>
      </c>
      <c r="C542" t="s">
        <v>32</v>
      </c>
      <c r="D542" t="s">
        <v>10</v>
      </c>
      <c r="E542" s="1">
        <v>44055</v>
      </c>
      <c r="F542" s="3">
        <v>2196.35</v>
      </c>
    </row>
    <row r="543" spans="1:6" x14ac:dyDescent="0.45">
      <c r="A543" t="s">
        <v>23</v>
      </c>
      <c r="B543" t="s">
        <v>9</v>
      </c>
      <c r="C543" t="s">
        <v>29</v>
      </c>
      <c r="D543" t="s">
        <v>13</v>
      </c>
      <c r="E543" s="1">
        <v>44055</v>
      </c>
      <c r="F543" s="3">
        <v>4432.3499999999995</v>
      </c>
    </row>
    <row r="544" spans="1:6" x14ac:dyDescent="0.45">
      <c r="A544" t="s">
        <v>19</v>
      </c>
      <c r="B544" t="s">
        <v>12</v>
      </c>
      <c r="C544" t="s">
        <v>29</v>
      </c>
      <c r="D544" t="s">
        <v>13</v>
      </c>
      <c r="E544" s="1">
        <v>44055</v>
      </c>
      <c r="F544" s="3">
        <v>1039.8699999999999</v>
      </c>
    </row>
    <row r="545" spans="1:6" x14ac:dyDescent="0.45">
      <c r="A545" t="s">
        <v>8</v>
      </c>
      <c r="B545" t="s">
        <v>6</v>
      </c>
      <c r="C545" t="s">
        <v>31</v>
      </c>
      <c r="D545" t="s">
        <v>13</v>
      </c>
      <c r="E545" s="1">
        <v>44055</v>
      </c>
      <c r="F545" s="3">
        <v>3750.45</v>
      </c>
    </row>
    <row r="546" spans="1:6" x14ac:dyDescent="0.45">
      <c r="A546" t="s">
        <v>5</v>
      </c>
      <c r="B546" t="s">
        <v>17</v>
      </c>
      <c r="C546" t="s">
        <v>32</v>
      </c>
      <c r="D546" t="s">
        <v>10</v>
      </c>
      <c r="E546" s="1">
        <v>44055</v>
      </c>
      <c r="F546" s="3">
        <v>9599.4000000000015</v>
      </c>
    </row>
    <row r="547" spans="1:6" x14ac:dyDescent="0.45">
      <c r="A547" t="s">
        <v>23</v>
      </c>
      <c r="B547" t="s">
        <v>12</v>
      </c>
      <c r="C547" t="s">
        <v>29</v>
      </c>
      <c r="D547" t="s">
        <v>24</v>
      </c>
      <c r="E547" s="1">
        <v>44055</v>
      </c>
      <c r="F547" s="3">
        <v>79.989999999999995</v>
      </c>
    </row>
    <row r="548" spans="1:6" x14ac:dyDescent="0.45">
      <c r="A548" t="s">
        <v>16</v>
      </c>
      <c r="B548" t="s">
        <v>12</v>
      </c>
      <c r="C548" t="s">
        <v>29</v>
      </c>
      <c r="D548" t="s">
        <v>21</v>
      </c>
      <c r="E548" s="1">
        <v>44056</v>
      </c>
      <c r="F548" s="3">
        <v>239.96999999999997</v>
      </c>
    </row>
    <row r="549" spans="1:6" x14ac:dyDescent="0.45">
      <c r="A549" t="s">
        <v>16</v>
      </c>
      <c r="B549" t="s">
        <v>14</v>
      </c>
      <c r="C549" t="s">
        <v>29</v>
      </c>
      <c r="D549" t="s">
        <v>7</v>
      </c>
      <c r="E549" s="1">
        <v>44056</v>
      </c>
      <c r="F549" s="3">
        <v>1351.6</v>
      </c>
    </row>
    <row r="550" spans="1:6" x14ac:dyDescent="0.45">
      <c r="A550" t="s">
        <v>5</v>
      </c>
      <c r="B550" t="s">
        <v>6</v>
      </c>
      <c r="C550" t="s">
        <v>32</v>
      </c>
      <c r="D550" t="s">
        <v>24</v>
      </c>
      <c r="E550" s="1">
        <v>44056</v>
      </c>
      <c r="F550" s="3">
        <v>2386.65</v>
      </c>
    </row>
    <row r="551" spans="1:6" x14ac:dyDescent="0.45">
      <c r="A551" t="s">
        <v>18</v>
      </c>
      <c r="B551" t="s">
        <v>9</v>
      </c>
      <c r="C551" t="s">
        <v>32</v>
      </c>
      <c r="D551" t="s">
        <v>7</v>
      </c>
      <c r="E551" s="1">
        <v>44057</v>
      </c>
      <c r="F551" s="3">
        <v>6819</v>
      </c>
    </row>
    <row r="552" spans="1:6" x14ac:dyDescent="0.45">
      <c r="A552" t="s">
        <v>5</v>
      </c>
      <c r="B552" t="s">
        <v>17</v>
      </c>
      <c r="C552" t="s">
        <v>32</v>
      </c>
      <c r="D552" t="s">
        <v>7</v>
      </c>
      <c r="E552" s="1">
        <v>44058</v>
      </c>
      <c r="F552" s="3">
        <v>12799.2</v>
      </c>
    </row>
    <row r="553" spans="1:6" x14ac:dyDescent="0.45">
      <c r="A553" t="s">
        <v>18</v>
      </c>
      <c r="B553" t="s">
        <v>14</v>
      </c>
      <c r="C553" t="s">
        <v>32</v>
      </c>
      <c r="D553" t="s">
        <v>24</v>
      </c>
      <c r="E553" s="1">
        <v>44058</v>
      </c>
      <c r="F553" s="3">
        <v>844.75</v>
      </c>
    </row>
    <row r="554" spans="1:6" x14ac:dyDescent="0.45">
      <c r="A554" t="s">
        <v>5</v>
      </c>
      <c r="B554" t="s">
        <v>12</v>
      </c>
      <c r="C554" t="s">
        <v>32</v>
      </c>
      <c r="D554" t="s">
        <v>24</v>
      </c>
      <c r="E554" s="1">
        <v>44058</v>
      </c>
      <c r="F554" s="3">
        <v>639.91999999999996</v>
      </c>
    </row>
    <row r="555" spans="1:6" x14ac:dyDescent="0.45">
      <c r="A555" t="s">
        <v>25</v>
      </c>
      <c r="B555" t="s">
        <v>17</v>
      </c>
      <c r="C555" t="s">
        <v>32</v>
      </c>
      <c r="D555" t="s">
        <v>21</v>
      </c>
      <c r="E555" s="1">
        <v>44059</v>
      </c>
      <c r="F555" s="3">
        <v>7199.55</v>
      </c>
    </row>
    <row r="556" spans="1:6" x14ac:dyDescent="0.45">
      <c r="A556" t="s">
        <v>18</v>
      </c>
      <c r="B556" t="s">
        <v>9</v>
      </c>
      <c r="C556" t="s">
        <v>32</v>
      </c>
      <c r="D556" t="s">
        <v>13</v>
      </c>
      <c r="E556" s="1">
        <v>44059</v>
      </c>
      <c r="F556" s="3">
        <v>3068.5499999999997</v>
      </c>
    </row>
    <row r="557" spans="1:6" x14ac:dyDescent="0.45">
      <c r="A557" t="s">
        <v>8</v>
      </c>
      <c r="B557" t="s">
        <v>9</v>
      </c>
      <c r="C557" t="s">
        <v>31</v>
      </c>
      <c r="D557" t="s">
        <v>21</v>
      </c>
      <c r="E557" s="1">
        <v>44059</v>
      </c>
      <c r="F557" s="3">
        <v>2727.6</v>
      </c>
    </row>
    <row r="558" spans="1:6" x14ac:dyDescent="0.45">
      <c r="A558" t="s">
        <v>5</v>
      </c>
      <c r="B558" t="s">
        <v>6</v>
      </c>
      <c r="C558" t="s">
        <v>32</v>
      </c>
      <c r="D558" t="s">
        <v>10</v>
      </c>
      <c r="E558" s="1">
        <v>44059</v>
      </c>
      <c r="F558" s="3">
        <v>1022.8499999999999</v>
      </c>
    </row>
    <row r="559" spans="1:6" x14ac:dyDescent="0.45">
      <c r="A559" t="s">
        <v>18</v>
      </c>
      <c r="B559" t="s">
        <v>9</v>
      </c>
      <c r="C559" t="s">
        <v>32</v>
      </c>
      <c r="D559" t="s">
        <v>24</v>
      </c>
      <c r="E559" s="1">
        <v>44059</v>
      </c>
      <c r="F559" s="3">
        <v>5114.25</v>
      </c>
    </row>
    <row r="560" spans="1:6" x14ac:dyDescent="0.45">
      <c r="A560" t="s">
        <v>25</v>
      </c>
      <c r="B560" t="s">
        <v>6</v>
      </c>
      <c r="C560" t="s">
        <v>30</v>
      </c>
      <c r="D560" t="s">
        <v>21</v>
      </c>
      <c r="E560" s="1">
        <v>44060</v>
      </c>
      <c r="F560" s="3">
        <v>5114.25</v>
      </c>
    </row>
    <row r="561" spans="1:6" x14ac:dyDescent="0.45">
      <c r="A561" t="s">
        <v>25</v>
      </c>
      <c r="B561" t="s">
        <v>17</v>
      </c>
      <c r="C561" t="s">
        <v>32</v>
      </c>
      <c r="D561" t="s">
        <v>13</v>
      </c>
      <c r="E561" s="1">
        <v>44062</v>
      </c>
      <c r="F561" s="3">
        <v>799.95</v>
      </c>
    </row>
    <row r="562" spans="1:6" x14ac:dyDescent="0.45">
      <c r="A562" t="s">
        <v>22</v>
      </c>
      <c r="B562" t="s">
        <v>9</v>
      </c>
      <c r="C562" t="s">
        <v>29</v>
      </c>
      <c r="D562" t="s">
        <v>13</v>
      </c>
      <c r="E562" s="1">
        <v>44062</v>
      </c>
      <c r="F562" s="3">
        <v>1022.8499999999999</v>
      </c>
    </row>
    <row r="563" spans="1:6" x14ac:dyDescent="0.45">
      <c r="A563" t="s">
        <v>22</v>
      </c>
      <c r="B563" t="s">
        <v>9</v>
      </c>
      <c r="C563" t="s">
        <v>29</v>
      </c>
      <c r="D563" t="s">
        <v>21</v>
      </c>
      <c r="E563" s="1">
        <v>44062</v>
      </c>
      <c r="F563" s="3">
        <v>3409.5</v>
      </c>
    </row>
    <row r="564" spans="1:6" x14ac:dyDescent="0.45">
      <c r="A564" t="s">
        <v>16</v>
      </c>
      <c r="B564" t="s">
        <v>14</v>
      </c>
      <c r="C564" t="s">
        <v>29</v>
      </c>
      <c r="D564" t="s">
        <v>21</v>
      </c>
      <c r="E564" s="1">
        <v>44062</v>
      </c>
      <c r="F564" s="3">
        <v>337.9</v>
      </c>
    </row>
    <row r="565" spans="1:6" x14ac:dyDescent="0.45">
      <c r="A565" t="s">
        <v>22</v>
      </c>
      <c r="B565" t="s">
        <v>17</v>
      </c>
      <c r="C565" t="s">
        <v>29</v>
      </c>
      <c r="D565" t="s">
        <v>10</v>
      </c>
      <c r="E565" s="1">
        <v>44062</v>
      </c>
      <c r="F565" s="3">
        <v>10399.35</v>
      </c>
    </row>
    <row r="566" spans="1:6" x14ac:dyDescent="0.45">
      <c r="A566" t="s">
        <v>26</v>
      </c>
      <c r="B566" t="s">
        <v>12</v>
      </c>
      <c r="C566" t="s">
        <v>30</v>
      </c>
      <c r="D566" t="s">
        <v>10</v>
      </c>
      <c r="E566" s="1">
        <v>44062</v>
      </c>
      <c r="F566" s="3">
        <v>559.92999999999995</v>
      </c>
    </row>
    <row r="567" spans="1:6" x14ac:dyDescent="0.45">
      <c r="A567" t="s">
        <v>11</v>
      </c>
      <c r="B567" t="s">
        <v>9</v>
      </c>
      <c r="C567" t="s">
        <v>30</v>
      </c>
      <c r="D567" t="s">
        <v>24</v>
      </c>
      <c r="E567" s="1">
        <v>44062</v>
      </c>
      <c r="F567" s="3">
        <v>340.95</v>
      </c>
    </row>
    <row r="568" spans="1:6" x14ac:dyDescent="0.45">
      <c r="A568" t="s">
        <v>26</v>
      </c>
      <c r="B568" t="s">
        <v>14</v>
      </c>
      <c r="C568" t="s">
        <v>30</v>
      </c>
      <c r="D568" t="s">
        <v>24</v>
      </c>
      <c r="E568" s="1">
        <v>44063</v>
      </c>
      <c r="F568" s="3">
        <v>1351.6</v>
      </c>
    </row>
    <row r="569" spans="1:6" x14ac:dyDescent="0.45">
      <c r="A569" t="s">
        <v>25</v>
      </c>
      <c r="B569" t="s">
        <v>12</v>
      </c>
      <c r="C569" t="s">
        <v>32</v>
      </c>
      <c r="D569" t="s">
        <v>13</v>
      </c>
      <c r="E569" s="1">
        <v>44063</v>
      </c>
      <c r="F569" s="3">
        <v>1039.8699999999999</v>
      </c>
    </row>
    <row r="570" spans="1:6" x14ac:dyDescent="0.45">
      <c r="A570" t="s">
        <v>22</v>
      </c>
      <c r="B570" t="s">
        <v>14</v>
      </c>
      <c r="C570" t="s">
        <v>29</v>
      </c>
      <c r="D570" t="s">
        <v>10</v>
      </c>
      <c r="E570" s="1">
        <v>44063</v>
      </c>
      <c r="F570" s="3">
        <v>337.9</v>
      </c>
    </row>
    <row r="571" spans="1:6" x14ac:dyDescent="0.45">
      <c r="A571" t="s">
        <v>16</v>
      </c>
      <c r="B571" t="s">
        <v>9</v>
      </c>
      <c r="C571" t="s">
        <v>29</v>
      </c>
      <c r="D571" t="s">
        <v>7</v>
      </c>
      <c r="E571" s="1">
        <v>44064</v>
      </c>
      <c r="F571" s="3">
        <v>2045.6999999999998</v>
      </c>
    </row>
    <row r="572" spans="1:6" x14ac:dyDescent="0.45">
      <c r="A572" t="s">
        <v>16</v>
      </c>
      <c r="B572" t="s">
        <v>14</v>
      </c>
      <c r="C572" t="s">
        <v>29</v>
      </c>
      <c r="D572" t="s">
        <v>21</v>
      </c>
      <c r="E572" s="1">
        <v>44064</v>
      </c>
      <c r="F572" s="3">
        <v>168.95</v>
      </c>
    </row>
    <row r="573" spans="1:6" x14ac:dyDescent="0.45">
      <c r="A573" t="s">
        <v>22</v>
      </c>
      <c r="B573" t="s">
        <v>17</v>
      </c>
      <c r="C573" t="s">
        <v>29</v>
      </c>
      <c r="D573" t="s">
        <v>21</v>
      </c>
      <c r="E573" s="1">
        <v>44065</v>
      </c>
      <c r="F573" s="3">
        <v>10399.35</v>
      </c>
    </row>
    <row r="574" spans="1:6" x14ac:dyDescent="0.45">
      <c r="A574" t="s">
        <v>11</v>
      </c>
      <c r="B574" t="s">
        <v>6</v>
      </c>
      <c r="C574" t="s">
        <v>30</v>
      </c>
      <c r="D574" t="s">
        <v>21</v>
      </c>
      <c r="E574" s="1">
        <v>44065</v>
      </c>
      <c r="F574" s="3">
        <v>340.95</v>
      </c>
    </row>
    <row r="575" spans="1:6" x14ac:dyDescent="0.45">
      <c r="A575" t="s">
        <v>25</v>
      </c>
      <c r="B575" t="s">
        <v>12</v>
      </c>
      <c r="C575" t="s">
        <v>32</v>
      </c>
      <c r="D575" t="s">
        <v>21</v>
      </c>
      <c r="E575" s="1">
        <v>44066</v>
      </c>
      <c r="F575" s="3">
        <v>719.91</v>
      </c>
    </row>
    <row r="576" spans="1:6" x14ac:dyDescent="0.45">
      <c r="A576" t="s">
        <v>11</v>
      </c>
      <c r="B576" t="s">
        <v>9</v>
      </c>
      <c r="C576" t="s">
        <v>30</v>
      </c>
      <c r="D576" t="s">
        <v>10</v>
      </c>
      <c r="E576" s="1">
        <v>44066</v>
      </c>
      <c r="F576" s="3">
        <v>340.95</v>
      </c>
    </row>
    <row r="577" spans="1:6" x14ac:dyDescent="0.45">
      <c r="A577" t="s">
        <v>5</v>
      </c>
      <c r="B577" t="s">
        <v>17</v>
      </c>
      <c r="C577" t="s">
        <v>32</v>
      </c>
      <c r="D577" t="s">
        <v>13</v>
      </c>
      <c r="E577" s="1">
        <v>44067</v>
      </c>
      <c r="F577" s="3">
        <v>3199.8</v>
      </c>
    </row>
    <row r="578" spans="1:6" x14ac:dyDescent="0.45">
      <c r="A578" t="s">
        <v>15</v>
      </c>
      <c r="B578" t="s">
        <v>12</v>
      </c>
      <c r="C578" t="s">
        <v>31</v>
      </c>
      <c r="D578" t="s">
        <v>24</v>
      </c>
      <c r="E578" s="1">
        <v>44068</v>
      </c>
      <c r="F578" s="3">
        <v>639.91999999999996</v>
      </c>
    </row>
    <row r="579" spans="1:6" x14ac:dyDescent="0.45">
      <c r="A579" t="s">
        <v>5</v>
      </c>
      <c r="B579" t="s">
        <v>12</v>
      </c>
      <c r="C579" t="s">
        <v>32</v>
      </c>
      <c r="D579" t="s">
        <v>7</v>
      </c>
      <c r="E579" s="1">
        <v>44069</v>
      </c>
      <c r="F579" s="3">
        <v>959.87999999999988</v>
      </c>
    </row>
    <row r="580" spans="1:6" x14ac:dyDescent="0.45">
      <c r="A580" t="s">
        <v>15</v>
      </c>
      <c r="B580" t="s">
        <v>9</v>
      </c>
      <c r="C580" t="s">
        <v>31</v>
      </c>
      <c r="D580" t="s">
        <v>21</v>
      </c>
      <c r="E580" s="1">
        <v>44069</v>
      </c>
      <c r="F580" s="3">
        <v>2727.6</v>
      </c>
    </row>
    <row r="581" spans="1:6" x14ac:dyDescent="0.45">
      <c r="A581" t="s">
        <v>8</v>
      </c>
      <c r="B581" t="s">
        <v>9</v>
      </c>
      <c r="C581" t="s">
        <v>31</v>
      </c>
      <c r="D581" t="s">
        <v>10</v>
      </c>
      <c r="E581" s="1">
        <v>44069</v>
      </c>
      <c r="F581" s="3">
        <v>1704.75</v>
      </c>
    </row>
    <row r="582" spans="1:6" x14ac:dyDescent="0.45">
      <c r="A582" t="s">
        <v>19</v>
      </c>
      <c r="B582" t="s">
        <v>17</v>
      </c>
      <c r="C582" t="s">
        <v>29</v>
      </c>
      <c r="D582" t="s">
        <v>21</v>
      </c>
      <c r="E582" s="1">
        <v>44069</v>
      </c>
      <c r="F582" s="3">
        <v>7999.5</v>
      </c>
    </row>
    <row r="583" spans="1:6" x14ac:dyDescent="0.45">
      <c r="A583" t="s">
        <v>22</v>
      </c>
      <c r="B583" t="s">
        <v>14</v>
      </c>
      <c r="C583" t="s">
        <v>29</v>
      </c>
      <c r="D583" t="s">
        <v>24</v>
      </c>
      <c r="E583" s="1">
        <v>44070</v>
      </c>
      <c r="F583" s="3">
        <v>506.84999999999997</v>
      </c>
    </row>
    <row r="584" spans="1:6" x14ac:dyDescent="0.45">
      <c r="A584" t="s">
        <v>22</v>
      </c>
      <c r="B584" t="s">
        <v>9</v>
      </c>
      <c r="C584" t="s">
        <v>29</v>
      </c>
      <c r="D584" t="s">
        <v>24</v>
      </c>
      <c r="E584" s="1">
        <v>44070</v>
      </c>
      <c r="F584" s="3">
        <v>5114.25</v>
      </c>
    </row>
    <row r="585" spans="1:6" x14ac:dyDescent="0.45">
      <c r="A585" t="s">
        <v>8</v>
      </c>
      <c r="B585" t="s">
        <v>12</v>
      </c>
      <c r="C585" t="s">
        <v>31</v>
      </c>
      <c r="D585" t="s">
        <v>24</v>
      </c>
      <c r="E585" s="1">
        <v>44070</v>
      </c>
      <c r="F585" s="3">
        <v>1199.8499999999999</v>
      </c>
    </row>
    <row r="586" spans="1:6" x14ac:dyDescent="0.45">
      <c r="A586" t="s">
        <v>11</v>
      </c>
      <c r="B586" t="s">
        <v>14</v>
      </c>
      <c r="C586" t="s">
        <v>30</v>
      </c>
      <c r="D586" t="s">
        <v>21</v>
      </c>
      <c r="E586" s="1">
        <v>44071</v>
      </c>
      <c r="F586" s="3">
        <v>2196.35</v>
      </c>
    </row>
    <row r="587" spans="1:6" x14ac:dyDescent="0.45">
      <c r="A587" t="s">
        <v>23</v>
      </c>
      <c r="B587" t="s">
        <v>14</v>
      </c>
      <c r="C587" t="s">
        <v>29</v>
      </c>
      <c r="D587" t="s">
        <v>24</v>
      </c>
      <c r="E587" s="1">
        <v>44071</v>
      </c>
      <c r="F587" s="3">
        <v>2027.3999999999999</v>
      </c>
    </row>
    <row r="588" spans="1:6" x14ac:dyDescent="0.45">
      <c r="A588" t="s">
        <v>11</v>
      </c>
      <c r="B588" t="s">
        <v>12</v>
      </c>
      <c r="C588" t="s">
        <v>30</v>
      </c>
      <c r="D588" t="s">
        <v>10</v>
      </c>
      <c r="E588" s="1">
        <v>44072</v>
      </c>
      <c r="F588" s="3">
        <v>399.95</v>
      </c>
    </row>
    <row r="589" spans="1:6" x14ac:dyDescent="0.45">
      <c r="A589" t="s">
        <v>11</v>
      </c>
      <c r="B589" t="s">
        <v>9</v>
      </c>
      <c r="C589" t="s">
        <v>30</v>
      </c>
      <c r="D589" t="s">
        <v>13</v>
      </c>
      <c r="E589" s="1">
        <v>44072</v>
      </c>
      <c r="F589" s="3">
        <v>1704.75</v>
      </c>
    </row>
    <row r="590" spans="1:6" x14ac:dyDescent="0.45">
      <c r="A590" t="s">
        <v>25</v>
      </c>
      <c r="B590" t="s">
        <v>12</v>
      </c>
      <c r="C590" t="s">
        <v>32</v>
      </c>
      <c r="D590" t="s">
        <v>21</v>
      </c>
      <c r="E590" s="1">
        <v>44073</v>
      </c>
      <c r="F590" s="3">
        <v>959.87999999999988</v>
      </c>
    </row>
    <row r="591" spans="1:6" x14ac:dyDescent="0.45">
      <c r="A591" t="s">
        <v>22</v>
      </c>
      <c r="B591" t="s">
        <v>6</v>
      </c>
      <c r="C591" t="s">
        <v>29</v>
      </c>
      <c r="D591" t="s">
        <v>24</v>
      </c>
      <c r="E591" s="1">
        <v>44073</v>
      </c>
      <c r="F591" s="3">
        <v>2386.65</v>
      </c>
    </row>
    <row r="592" spans="1:6" x14ac:dyDescent="0.45">
      <c r="A592" t="s">
        <v>11</v>
      </c>
      <c r="B592" t="s">
        <v>9</v>
      </c>
      <c r="C592" t="s">
        <v>30</v>
      </c>
      <c r="D592" t="s">
        <v>10</v>
      </c>
      <c r="E592" s="1">
        <v>44076</v>
      </c>
      <c r="F592" s="3">
        <v>1704.75</v>
      </c>
    </row>
    <row r="593" spans="1:6" x14ac:dyDescent="0.45">
      <c r="A593" t="s">
        <v>23</v>
      </c>
      <c r="B593" t="s">
        <v>9</v>
      </c>
      <c r="C593" t="s">
        <v>29</v>
      </c>
      <c r="D593" t="s">
        <v>7</v>
      </c>
      <c r="E593" s="1">
        <v>44077</v>
      </c>
      <c r="F593" s="3">
        <v>3750.45</v>
      </c>
    </row>
    <row r="594" spans="1:6" x14ac:dyDescent="0.45">
      <c r="A594" t="s">
        <v>11</v>
      </c>
      <c r="B594" t="s">
        <v>12</v>
      </c>
      <c r="C594" t="s">
        <v>30</v>
      </c>
      <c r="D594" t="s">
        <v>10</v>
      </c>
      <c r="E594" s="1">
        <v>44077</v>
      </c>
      <c r="F594" s="3">
        <v>159.97999999999999</v>
      </c>
    </row>
    <row r="595" spans="1:6" x14ac:dyDescent="0.45">
      <c r="A595" t="s">
        <v>11</v>
      </c>
      <c r="B595" t="s">
        <v>12</v>
      </c>
      <c r="C595" t="s">
        <v>30</v>
      </c>
      <c r="D595" t="s">
        <v>24</v>
      </c>
      <c r="E595" s="1">
        <v>44077</v>
      </c>
      <c r="F595" s="3">
        <v>239.96999999999997</v>
      </c>
    </row>
    <row r="596" spans="1:6" x14ac:dyDescent="0.45">
      <c r="A596" t="s">
        <v>16</v>
      </c>
      <c r="B596" t="s">
        <v>14</v>
      </c>
      <c r="C596" t="s">
        <v>29</v>
      </c>
      <c r="D596" t="s">
        <v>24</v>
      </c>
      <c r="E596" s="1">
        <v>44077</v>
      </c>
      <c r="F596" s="3">
        <v>2027.3999999999999</v>
      </c>
    </row>
    <row r="597" spans="1:6" x14ac:dyDescent="0.45">
      <c r="A597" t="s">
        <v>11</v>
      </c>
      <c r="B597" t="s">
        <v>9</v>
      </c>
      <c r="C597" t="s">
        <v>30</v>
      </c>
      <c r="D597" t="s">
        <v>10</v>
      </c>
      <c r="E597" s="1">
        <v>44077</v>
      </c>
      <c r="F597" s="3">
        <v>3409.5</v>
      </c>
    </row>
    <row r="598" spans="1:6" x14ac:dyDescent="0.45">
      <c r="A598" t="s">
        <v>20</v>
      </c>
      <c r="B598" t="s">
        <v>6</v>
      </c>
      <c r="C598" t="s">
        <v>32</v>
      </c>
      <c r="D598" t="s">
        <v>24</v>
      </c>
      <c r="E598" s="1">
        <v>44078</v>
      </c>
      <c r="F598" s="3">
        <v>3068.5499999999997</v>
      </c>
    </row>
    <row r="599" spans="1:6" x14ac:dyDescent="0.45">
      <c r="A599" t="s">
        <v>11</v>
      </c>
      <c r="B599" t="s">
        <v>12</v>
      </c>
      <c r="C599" t="s">
        <v>30</v>
      </c>
      <c r="D599" t="s">
        <v>10</v>
      </c>
      <c r="E599" s="1">
        <v>44078</v>
      </c>
      <c r="F599" s="3">
        <v>559.92999999999995</v>
      </c>
    </row>
    <row r="600" spans="1:6" x14ac:dyDescent="0.45">
      <c r="A600" t="s">
        <v>8</v>
      </c>
      <c r="B600" t="s">
        <v>12</v>
      </c>
      <c r="C600" t="s">
        <v>31</v>
      </c>
      <c r="D600" t="s">
        <v>7</v>
      </c>
      <c r="E600" s="1">
        <v>44079</v>
      </c>
      <c r="F600" s="3">
        <v>879.89</v>
      </c>
    </row>
    <row r="601" spans="1:6" x14ac:dyDescent="0.45">
      <c r="A601" t="s">
        <v>16</v>
      </c>
      <c r="B601" t="s">
        <v>17</v>
      </c>
      <c r="C601" t="s">
        <v>29</v>
      </c>
      <c r="D601" t="s">
        <v>13</v>
      </c>
      <c r="E601" s="1">
        <v>44079</v>
      </c>
      <c r="F601" s="3">
        <v>10399.35</v>
      </c>
    </row>
    <row r="602" spans="1:6" x14ac:dyDescent="0.45">
      <c r="A602" t="s">
        <v>11</v>
      </c>
      <c r="B602" t="s">
        <v>14</v>
      </c>
      <c r="C602" t="s">
        <v>30</v>
      </c>
      <c r="D602" t="s">
        <v>7</v>
      </c>
      <c r="E602" s="1">
        <v>44080</v>
      </c>
      <c r="F602" s="3">
        <v>1520.55</v>
      </c>
    </row>
    <row r="603" spans="1:6" x14ac:dyDescent="0.45">
      <c r="A603" t="s">
        <v>20</v>
      </c>
      <c r="B603" t="s">
        <v>6</v>
      </c>
      <c r="C603" t="s">
        <v>32</v>
      </c>
      <c r="D603" t="s">
        <v>10</v>
      </c>
      <c r="E603" s="1">
        <v>44080</v>
      </c>
      <c r="F603" s="3">
        <v>340.95</v>
      </c>
    </row>
    <row r="604" spans="1:6" x14ac:dyDescent="0.45">
      <c r="A604" t="s">
        <v>15</v>
      </c>
      <c r="B604" t="s">
        <v>14</v>
      </c>
      <c r="C604" t="s">
        <v>31</v>
      </c>
      <c r="D604" t="s">
        <v>21</v>
      </c>
      <c r="E604" s="1">
        <v>44080</v>
      </c>
      <c r="F604" s="3">
        <v>506.84999999999997</v>
      </c>
    </row>
    <row r="605" spans="1:6" x14ac:dyDescent="0.45">
      <c r="A605" t="s">
        <v>5</v>
      </c>
      <c r="B605" t="s">
        <v>6</v>
      </c>
      <c r="C605" t="s">
        <v>32</v>
      </c>
      <c r="D605" t="s">
        <v>24</v>
      </c>
      <c r="E605" s="1">
        <v>44080</v>
      </c>
      <c r="F605" s="3">
        <v>2386.65</v>
      </c>
    </row>
    <row r="606" spans="1:6" x14ac:dyDescent="0.45">
      <c r="A606" t="s">
        <v>20</v>
      </c>
      <c r="B606" t="s">
        <v>12</v>
      </c>
      <c r="C606" t="s">
        <v>32</v>
      </c>
      <c r="D606" t="s">
        <v>13</v>
      </c>
      <c r="E606" s="1">
        <v>44083</v>
      </c>
      <c r="F606" s="3">
        <v>1039.8699999999999</v>
      </c>
    </row>
    <row r="607" spans="1:6" x14ac:dyDescent="0.45">
      <c r="A607" t="s">
        <v>20</v>
      </c>
      <c r="B607" t="s">
        <v>9</v>
      </c>
      <c r="C607" t="s">
        <v>32</v>
      </c>
      <c r="D607" t="s">
        <v>7</v>
      </c>
      <c r="E607" s="1">
        <v>44083</v>
      </c>
      <c r="F607" s="3">
        <v>2386.65</v>
      </c>
    </row>
    <row r="608" spans="1:6" x14ac:dyDescent="0.45">
      <c r="A608" t="s">
        <v>18</v>
      </c>
      <c r="B608" t="s">
        <v>12</v>
      </c>
      <c r="C608" t="s">
        <v>32</v>
      </c>
      <c r="D608" t="s">
        <v>24</v>
      </c>
      <c r="E608" s="1">
        <v>44083</v>
      </c>
      <c r="F608" s="3">
        <v>79.989999999999995</v>
      </c>
    </row>
    <row r="609" spans="1:6" x14ac:dyDescent="0.45">
      <c r="A609" t="s">
        <v>5</v>
      </c>
      <c r="B609" t="s">
        <v>17</v>
      </c>
      <c r="C609" t="s">
        <v>32</v>
      </c>
      <c r="D609" t="s">
        <v>24</v>
      </c>
      <c r="E609" s="1">
        <v>44083</v>
      </c>
      <c r="F609" s="3">
        <v>3199.8</v>
      </c>
    </row>
    <row r="610" spans="1:6" x14ac:dyDescent="0.45">
      <c r="A610" t="s">
        <v>19</v>
      </c>
      <c r="B610" t="s">
        <v>6</v>
      </c>
      <c r="C610" t="s">
        <v>29</v>
      </c>
      <c r="D610" t="s">
        <v>13</v>
      </c>
      <c r="E610" s="1">
        <v>44083</v>
      </c>
      <c r="F610" s="3">
        <v>3068.5499999999997</v>
      </c>
    </row>
    <row r="611" spans="1:6" x14ac:dyDescent="0.45">
      <c r="A611" t="s">
        <v>18</v>
      </c>
      <c r="B611" t="s">
        <v>12</v>
      </c>
      <c r="C611" t="s">
        <v>32</v>
      </c>
      <c r="D611" t="s">
        <v>13</v>
      </c>
      <c r="E611" s="1">
        <v>44083</v>
      </c>
      <c r="F611" s="3">
        <v>159.97999999999999</v>
      </c>
    </row>
    <row r="612" spans="1:6" x14ac:dyDescent="0.45">
      <c r="A612" t="s">
        <v>26</v>
      </c>
      <c r="B612" t="s">
        <v>14</v>
      </c>
      <c r="C612" t="s">
        <v>30</v>
      </c>
      <c r="D612" t="s">
        <v>13</v>
      </c>
      <c r="E612" s="1">
        <v>44083</v>
      </c>
      <c r="F612" s="3">
        <v>168.95</v>
      </c>
    </row>
    <row r="613" spans="1:6" x14ac:dyDescent="0.45">
      <c r="A613" t="s">
        <v>5</v>
      </c>
      <c r="B613" t="s">
        <v>9</v>
      </c>
      <c r="C613" t="s">
        <v>32</v>
      </c>
      <c r="D613" t="s">
        <v>13</v>
      </c>
      <c r="E613" s="1">
        <v>44083</v>
      </c>
      <c r="F613" s="3">
        <v>4773.3</v>
      </c>
    </row>
    <row r="614" spans="1:6" x14ac:dyDescent="0.45">
      <c r="A614" t="s">
        <v>11</v>
      </c>
      <c r="B614" t="s">
        <v>14</v>
      </c>
      <c r="C614" t="s">
        <v>30</v>
      </c>
      <c r="D614" t="s">
        <v>21</v>
      </c>
      <c r="E614" s="1">
        <v>44083</v>
      </c>
      <c r="F614" s="3">
        <v>1013.6999999999999</v>
      </c>
    </row>
    <row r="615" spans="1:6" x14ac:dyDescent="0.45">
      <c r="A615" t="s">
        <v>8</v>
      </c>
      <c r="B615" t="s">
        <v>14</v>
      </c>
      <c r="C615" t="s">
        <v>31</v>
      </c>
      <c r="D615" t="s">
        <v>21</v>
      </c>
      <c r="E615" s="1">
        <v>44083</v>
      </c>
      <c r="F615" s="3">
        <v>2534.25</v>
      </c>
    </row>
    <row r="616" spans="1:6" x14ac:dyDescent="0.45">
      <c r="A616" t="s">
        <v>8</v>
      </c>
      <c r="B616" t="s">
        <v>9</v>
      </c>
      <c r="C616" t="s">
        <v>31</v>
      </c>
      <c r="D616" t="s">
        <v>24</v>
      </c>
      <c r="E616" s="1">
        <v>44083</v>
      </c>
      <c r="F616" s="3">
        <v>2727.6</v>
      </c>
    </row>
    <row r="617" spans="1:6" x14ac:dyDescent="0.45">
      <c r="A617" t="s">
        <v>23</v>
      </c>
      <c r="B617" t="s">
        <v>17</v>
      </c>
      <c r="C617" t="s">
        <v>29</v>
      </c>
      <c r="D617" t="s">
        <v>13</v>
      </c>
      <c r="E617" s="1">
        <v>44084</v>
      </c>
      <c r="F617" s="3">
        <v>11199.300000000001</v>
      </c>
    </row>
    <row r="618" spans="1:6" x14ac:dyDescent="0.45">
      <c r="A618" t="s">
        <v>26</v>
      </c>
      <c r="B618" t="s">
        <v>17</v>
      </c>
      <c r="C618" t="s">
        <v>30</v>
      </c>
      <c r="D618" t="s">
        <v>10</v>
      </c>
      <c r="E618" s="1">
        <v>44084</v>
      </c>
      <c r="F618" s="3">
        <v>799.95</v>
      </c>
    </row>
    <row r="619" spans="1:6" x14ac:dyDescent="0.45">
      <c r="A619" t="s">
        <v>18</v>
      </c>
      <c r="B619" t="s">
        <v>6</v>
      </c>
      <c r="C619" t="s">
        <v>32</v>
      </c>
      <c r="D619" t="s">
        <v>13</v>
      </c>
      <c r="E619" s="1">
        <v>44086</v>
      </c>
      <c r="F619" s="3">
        <v>1022.8499999999999</v>
      </c>
    </row>
    <row r="620" spans="1:6" x14ac:dyDescent="0.45">
      <c r="A620" t="s">
        <v>8</v>
      </c>
      <c r="B620" t="s">
        <v>14</v>
      </c>
      <c r="C620" t="s">
        <v>31</v>
      </c>
      <c r="D620" t="s">
        <v>24</v>
      </c>
      <c r="E620" s="1">
        <v>44086</v>
      </c>
      <c r="F620" s="3">
        <v>675.8</v>
      </c>
    </row>
    <row r="621" spans="1:6" x14ac:dyDescent="0.45">
      <c r="A621" t="s">
        <v>5</v>
      </c>
      <c r="B621" t="s">
        <v>9</v>
      </c>
      <c r="C621" t="s">
        <v>32</v>
      </c>
      <c r="D621" t="s">
        <v>24</v>
      </c>
      <c r="E621" s="1">
        <v>44086</v>
      </c>
      <c r="F621" s="3">
        <v>3409.5</v>
      </c>
    </row>
    <row r="622" spans="1:6" x14ac:dyDescent="0.45">
      <c r="A622" t="s">
        <v>22</v>
      </c>
      <c r="B622" t="s">
        <v>9</v>
      </c>
      <c r="C622" t="s">
        <v>29</v>
      </c>
      <c r="D622" t="s">
        <v>13</v>
      </c>
      <c r="E622" s="1">
        <v>44088</v>
      </c>
      <c r="F622" s="3">
        <v>1704.75</v>
      </c>
    </row>
    <row r="623" spans="1:6" x14ac:dyDescent="0.45">
      <c r="A623" t="s">
        <v>23</v>
      </c>
      <c r="B623" t="s">
        <v>9</v>
      </c>
      <c r="C623" t="s">
        <v>29</v>
      </c>
      <c r="D623" t="s">
        <v>13</v>
      </c>
      <c r="E623" s="1">
        <v>44088</v>
      </c>
      <c r="F623" s="3">
        <v>2727.6</v>
      </c>
    </row>
    <row r="624" spans="1:6" x14ac:dyDescent="0.45">
      <c r="A624" t="s">
        <v>8</v>
      </c>
      <c r="B624" t="s">
        <v>17</v>
      </c>
      <c r="C624" t="s">
        <v>31</v>
      </c>
      <c r="D624" t="s">
        <v>7</v>
      </c>
      <c r="E624" s="1">
        <v>44088</v>
      </c>
      <c r="F624" s="3">
        <v>10399.35</v>
      </c>
    </row>
    <row r="625" spans="1:6" x14ac:dyDescent="0.45">
      <c r="A625" t="s">
        <v>16</v>
      </c>
      <c r="B625" t="s">
        <v>12</v>
      </c>
      <c r="C625" t="s">
        <v>29</v>
      </c>
      <c r="D625" t="s">
        <v>7</v>
      </c>
      <c r="E625" s="1">
        <v>44088</v>
      </c>
      <c r="F625" s="3">
        <v>1039.8699999999999</v>
      </c>
    </row>
    <row r="626" spans="1:6" x14ac:dyDescent="0.45">
      <c r="A626" t="s">
        <v>20</v>
      </c>
      <c r="B626" t="s">
        <v>17</v>
      </c>
      <c r="C626" t="s">
        <v>32</v>
      </c>
      <c r="D626" t="s">
        <v>10</v>
      </c>
      <c r="E626" s="1">
        <v>44088</v>
      </c>
      <c r="F626" s="3">
        <v>7999.5</v>
      </c>
    </row>
    <row r="627" spans="1:6" x14ac:dyDescent="0.45">
      <c r="A627" t="s">
        <v>11</v>
      </c>
      <c r="B627" t="s">
        <v>12</v>
      </c>
      <c r="C627" t="s">
        <v>30</v>
      </c>
      <c r="D627" t="s">
        <v>13</v>
      </c>
      <c r="E627" s="1">
        <v>44089</v>
      </c>
      <c r="F627" s="3">
        <v>559.92999999999995</v>
      </c>
    </row>
    <row r="628" spans="1:6" x14ac:dyDescent="0.45">
      <c r="A628" t="s">
        <v>15</v>
      </c>
      <c r="B628" t="s">
        <v>9</v>
      </c>
      <c r="C628" t="s">
        <v>31</v>
      </c>
      <c r="D628" t="s">
        <v>24</v>
      </c>
      <c r="E628" s="1">
        <v>44089</v>
      </c>
      <c r="F628" s="3">
        <v>4432.3499999999995</v>
      </c>
    </row>
    <row r="629" spans="1:6" x14ac:dyDescent="0.45">
      <c r="A629" t="s">
        <v>19</v>
      </c>
      <c r="B629" t="s">
        <v>12</v>
      </c>
      <c r="C629" t="s">
        <v>29</v>
      </c>
      <c r="D629" t="s">
        <v>24</v>
      </c>
      <c r="E629" s="1">
        <v>44089</v>
      </c>
      <c r="F629" s="3">
        <v>1199.8499999999999</v>
      </c>
    </row>
    <row r="630" spans="1:6" x14ac:dyDescent="0.45">
      <c r="A630" t="s">
        <v>18</v>
      </c>
      <c r="B630" t="s">
        <v>6</v>
      </c>
      <c r="C630" t="s">
        <v>32</v>
      </c>
      <c r="D630" t="s">
        <v>13</v>
      </c>
      <c r="E630" s="1">
        <v>44091</v>
      </c>
      <c r="F630" s="3">
        <v>2727.6</v>
      </c>
    </row>
    <row r="631" spans="1:6" x14ac:dyDescent="0.45">
      <c r="A631" t="s">
        <v>15</v>
      </c>
      <c r="B631" t="s">
        <v>9</v>
      </c>
      <c r="C631" t="s">
        <v>31</v>
      </c>
      <c r="D631" t="s">
        <v>21</v>
      </c>
      <c r="E631" s="1">
        <v>44091</v>
      </c>
      <c r="F631" s="3">
        <v>3068.5499999999997</v>
      </c>
    </row>
    <row r="632" spans="1:6" x14ac:dyDescent="0.45">
      <c r="A632" t="s">
        <v>22</v>
      </c>
      <c r="B632" t="s">
        <v>17</v>
      </c>
      <c r="C632" t="s">
        <v>29</v>
      </c>
      <c r="D632" t="s">
        <v>10</v>
      </c>
      <c r="E632" s="1">
        <v>44091</v>
      </c>
      <c r="F632" s="3">
        <v>6399.6</v>
      </c>
    </row>
    <row r="633" spans="1:6" x14ac:dyDescent="0.45">
      <c r="A633" t="s">
        <v>16</v>
      </c>
      <c r="B633" t="s">
        <v>17</v>
      </c>
      <c r="C633" t="s">
        <v>29</v>
      </c>
      <c r="D633" t="s">
        <v>10</v>
      </c>
      <c r="E633" s="1">
        <v>44091</v>
      </c>
      <c r="F633" s="3">
        <v>7999.5</v>
      </c>
    </row>
    <row r="634" spans="1:6" x14ac:dyDescent="0.45">
      <c r="A634" t="s">
        <v>8</v>
      </c>
      <c r="B634" t="s">
        <v>12</v>
      </c>
      <c r="C634" t="s">
        <v>31</v>
      </c>
      <c r="D634" t="s">
        <v>10</v>
      </c>
      <c r="E634" s="1">
        <v>44091</v>
      </c>
      <c r="F634" s="3">
        <v>79.989999999999995</v>
      </c>
    </row>
    <row r="635" spans="1:6" x14ac:dyDescent="0.45">
      <c r="A635" t="s">
        <v>5</v>
      </c>
      <c r="B635" t="s">
        <v>14</v>
      </c>
      <c r="C635" t="s">
        <v>32</v>
      </c>
      <c r="D635" t="s">
        <v>7</v>
      </c>
      <c r="E635" s="1">
        <v>44092</v>
      </c>
      <c r="F635" s="3">
        <v>3379</v>
      </c>
    </row>
    <row r="636" spans="1:6" x14ac:dyDescent="0.45">
      <c r="A636" t="s">
        <v>5</v>
      </c>
      <c r="B636" t="s">
        <v>9</v>
      </c>
      <c r="C636" t="s">
        <v>32</v>
      </c>
      <c r="D636" t="s">
        <v>10</v>
      </c>
      <c r="E636" s="1">
        <v>44092</v>
      </c>
      <c r="F636" s="3">
        <v>4432.3499999999995</v>
      </c>
    </row>
    <row r="637" spans="1:6" x14ac:dyDescent="0.45">
      <c r="A637" t="s">
        <v>25</v>
      </c>
      <c r="B637" t="s">
        <v>17</v>
      </c>
      <c r="C637" t="s">
        <v>32</v>
      </c>
      <c r="D637" t="s">
        <v>24</v>
      </c>
      <c r="E637" s="1">
        <v>44092</v>
      </c>
      <c r="F637" s="3">
        <v>7199.55</v>
      </c>
    </row>
    <row r="638" spans="1:6" x14ac:dyDescent="0.45">
      <c r="A638" t="s">
        <v>22</v>
      </c>
      <c r="B638" t="s">
        <v>17</v>
      </c>
      <c r="C638" t="s">
        <v>29</v>
      </c>
      <c r="D638" t="s">
        <v>10</v>
      </c>
      <c r="E638" s="1">
        <v>44093</v>
      </c>
      <c r="F638" s="3">
        <v>10399.35</v>
      </c>
    </row>
    <row r="639" spans="1:6" x14ac:dyDescent="0.45">
      <c r="A639" t="s">
        <v>26</v>
      </c>
      <c r="B639" t="s">
        <v>9</v>
      </c>
      <c r="C639" t="s">
        <v>30</v>
      </c>
      <c r="D639" t="s">
        <v>21</v>
      </c>
      <c r="E639" s="1">
        <v>44094</v>
      </c>
      <c r="F639" s="3">
        <v>5114.25</v>
      </c>
    </row>
    <row r="640" spans="1:6" x14ac:dyDescent="0.45">
      <c r="A640" t="s">
        <v>20</v>
      </c>
      <c r="B640" t="s">
        <v>17</v>
      </c>
      <c r="C640" t="s">
        <v>32</v>
      </c>
      <c r="D640" t="s">
        <v>10</v>
      </c>
      <c r="E640" s="1">
        <v>44094</v>
      </c>
      <c r="F640" s="3">
        <v>8799.4500000000007</v>
      </c>
    </row>
    <row r="641" spans="1:6" x14ac:dyDescent="0.45">
      <c r="A641" t="s">
        <v>16</v>
      </c>
      <c r="B641" t="s">
        <v>12</v>
      </c>
      <c r="C641" t="s">
        <v>29</v>
      </c>
      <c r="D641" t="s">
        <v>10</v>
      </c>
      <c r="E641" s="1">
        <v>44094</v>
      </c>
      <c r="F641" s="3">
        <v>1119.8599999999999</v>
      </c>
    </row>
    <row r="642" spans="1:6" x14ac:dyDescent="0.45">
      <c r="A642" t="s">
        <v>16</v>
      </c>
      <c r="B642" t="s">
        <v>17</v>
      </c>
      <c r="C642" t="s">
        <v>29</v>
      </c>
      <c r="D642" t="s">
        <v>13</v>
      </c>
      <c r="E642" s="1">
        <v>44095</v>
      </c>
      <c r="F642" s="3">
        <v>7999.5</v>
      </c>
    </row>
    <row r="643" spans="1:6" x14ac:dyDescent="0.45">
      <c r="A643" t="s">
        <v>8</v>
      </c>
      <c r="B643" t="s">
        <v>6</v>
      </c>
      <c r="C643" t="s">
        <v>31</v>
      </c>
      <c r="D643" t="s">
        <v>24</v>
      </c>
      <c r="E643" s="1">
        <v>44095</v>
      </c>
      <c r="F643" s="3">
        <v>4091.3999999999996</v>
      </c>
    </row>
    <row r="644" spans="1:6" x14ac:dyDescent="0.45">
      <c r="A644" t="s">
        <v>22</v>
      </c>
      <c r="B644" t="s">
        <v>9</v>
      </c>
      <c r="C644" t="s">
        <v>29</v>
      </c>
      <c r="D644" t="s">
        <v>13</v>
      </c>
      <c r="E644" s="1">
        <v>44097</v>
      </c>
      <c r="F644" s="3">
        <v>2727.6</v>
      </c>
    </row>
    <row r="645" spans="1:6" x14ac:dyDescent="0.45">
      <c r="A645" t="s">
        <v>26</v>
      </c>
      <c r="B645" t="s">
        <v>14</v>
      </c>
      <c r="C645" t="s">
        <v>30</v>
      </c>
      <c r="D645" t="s">
        <v>7</v>
      </c>
      <c r="E645" s="1">
        <v>44097</v>
      </c>
      <c r="F645" s="3">
        <v>3379</v>
      </c>
    </row>
    <row r="646" spans="1:6" x14ac:dyDescent="0.45">
      <c r="A646" t="s">
        <v>26</v>
      </c>
      <c r="B646" t="s">
        <v>9</v>
      </c>
      <c r="C646" t="s">
        <v>30</v>
      </c>
      <c r="D646" t="s">
        <v>21</v>
      </c>
      <c r="E646" s="1">
        <v>44097</v>
      </c>
      <c r="F646" s="3">
        <v>2045.6999999999998</v>
      </c>
    </row>
    <row r="647" spans="1:6" x14ac:dyDescent="0.45">
      <c r="A647" t="s">
        <v>22</v>
      </c>
      <c r="B647" t="s">
        <v>9</v>
      </c>
      <c r="C647" t="s">
        <v>29</v>
      </c>
      <c r="D647" t="s">
        <v>24</v>
      </c>
      <c r="E647" s="1">
        <v>44097</v>
      </c>
      <c r="F647" s="3">
        <v>2045.6999999999998</v>
      </c>
    </row>
    <row r="648" spans="1:6" x14ac:dyDescent="0.45">
      <c r="A648" t="s">
        <v>23</v>
      </c>
      <c r="B648" t="s">
        <v>14</v>
      </c>
      <c r="C648" t="s">
        <v>29</v>
      </c>
      <c r="D648" t="s">
        <v>24</v>
      </c>
      <c r="E648" s="1">
        <v>44097</v>
      </c>
      <c r="F648" s="3">
        <v>1013.6999999999999</v>
      </c>
    </row>
    <row r="649" spans="1:6" x14ac:dyDescent="0.45">
      <c r="A649" t="s">
        <v>8</v>
      </c>
      <c r="B649" t="s">
        <v>12</v>
      </c>
      <c r="C649" t="s">
        <v>31</v>
      </c>
      <c r="D649" t="s">
        <v>10</v>
      </c>
      <c r="E649" s="1">
        <v>44098</v>
      </c>
      <c r="F649" s="3">
        <v>959.87999999999988</v>
      </c>
    </row>
    <row r="650" spans="1:6" x14ac:dyDescent="0.45">
      <c r="A650" t="s">
        <v>16</v>
      </c>
      <c r="B650" t="s">
        <v>17</v>
      </c>
      <c r="C650" t="s">
        <v>29</v>
      </c>
      <c r="D650" t="s">
        <v>24</v>
      </c>
      <c r="E650" s="1">
        <v>44098</v>
      </c>
      <c r="F650" s="3">
        <v>3199.8</v>
      </c>
    </row>
    <row r="651" spans="1:6" x14ac:dyDescent="0.45">
      <c r="A651" t="s">
        <v>8</v>
      </c>
      <c r="B651" t="s">
        <v>17</v>
      </c>
      <c r="C651" t="s">
        <v>31</v>
      </c>
      <c r="D651" t="s">
        <v>7</v>
      </c>
      <c r="E651" s="1">
        <v>44098</v>
      </c>
      <c r="F651" s="3">
        <v>15199.050000000001</v>
      </c>
    </row>
    <row r="652" spans="1:6" x14ac:dyDescent="0.45">
      <c r="A652" t="s">
        <v>5</v>
      </c>
      <c r="B652" t="s">
        <v>9</v>
      </c>
      <c r="C652" t="s">
        <v>32</v>
      </c>
      <c r="D652" t="s">
        <v>24</v>
      </c>
      <c r="E652" s="1">
        <v>44098</v>
      </c>
      <c r="F652" s="3">
        <v>3409.5</v>
      </c>
    </row>
    <row r="653" spans="1:6" x14ac:dyDescent="0.45">
      <c r="A653" t="s">
        <v>5</v>
      </c>
      <c r="B653" t="s">
        <v>14</v>
      </c>
      <c r="C653" t="s">
        <v>32</v>
      </c>
      <c r="D653" t="s">
        <v>13</v>
      </c>
      <c r="E653" s="1">
        <v>44099</v>
      </c>
      <c r="F653" s="3">
        <v>1013.6999999999999</v>
      </c>
    </row>
    <row r="654" spans="1:6" x14ac:dyDescent="0.45">
      <c r="A654" t="s">
        <v>11</v>
      </c>
      <c r="B654" t="s">
        <v>12</v>
      </c>
      <c r="C654" t="s">
        <v>30</v>
      </c>
      <c r="D654" t="s">
        <v>21</v>
      </c>
      <c r="E654" s="1">
        <v>44100</v>
      </c>
      <c r="F654" s="3">
        <v>239.96999999999997</v>
      </c>
    </row>
    <row r="655" spans="1:6" x14ac:dyDescent="0.45">
      <c r="A655" t="s">
        <v>11</v>
      </c>
      <c r="B655" t="s">
        <v>12</v>
      </c>
      <c r="C655" t="s">
        <v>30</v>
      </c>
      <c r="D655" t="s">
        <v>24</v>
      </c>
      <c r="E655" s="1">
        <v>44100</v>
      </c>
      <c r="F655" s="3">
        <v>559.92999999999995</v>
      </c>
    </row>
    <row r="656" spans="1:6" x14ac:dyDescent="0.45">
      <c r="A656" t="s">
        <v>26</v>
      </c>
      <c r="B656" t="s">
        <v>9</v>
      </c>
      <c r="C656" t="s">
        <v>30</v>
      </c>
      <c r="D656" t="s">
        <v>13</v>
      </c>
      <c r="E656" s="1">
        <v>44101</v>
      </c>
      <c r="F656" s="3">
        <v>340.95</v>
      </c>
    </row>
    <row r="657" spans="1:6" x14ac:dyDescent="0.45">
      <c r="A657" t="s">
        <v>8</v>
      </c>
      <c r="B657" t="s">
        <v>14</v>
      </c>
      <c r="C657" t="s">
        <v>31</v>
      </c>
      <c r="D657" t="s">
        <v>24</v>
      </c>
      <c r="E657" s="1">
        <v>44102</v>
      </c>
      <c r="F657" s="3">
        <v>675.8</v>
      </c>
    </row>
    <row r="658" spans="1:6" x14ac:dyDescent="0.45">
      <c r="A658" t="s">
        <v>11</v>
      </c>
      <c r="B658" t="s">
        <v>9</v>
      </c>
      <c r="C658" t="s">
        <v>30</v>
      </c>
      <c r="D658" t="s">
        <v>13</v>
      </c>
      <c r="E658" s="1">
        <v>44103</v>
      </c>
      <c r="F658" s="3">
        <v>4432.3499999999995</v>
      </c>
    </row>
    <row r="659" spans="1:6" x14ac:dyDescent="0.45">
      <c r="A659" t="s">
        <v>15</v>
      </c>
      <c r="B659" t="s">
        <v>14</v>
      </c>
      <c r="C659" t="s">
        <v>31</v>
      </c>
      <c r="D659" t="s">
        <v>21</v>
      </c>
      <c r="E659" s="1">
        <v>44103</v>
      </c>
      <c r="F659" s="3">
        <v>1689.5</v>
      </c>
    </row>
    <row r="660" spans="1:6" x14ac:dyDescent="0.45">
      <c r="A660" t="s">
        <v>11</v>
      </c>
      <c r="B660" t="s">
        <v>17</v>
      </c>
      <c r="C660" t="s">
        <v>30</v>
      </c>
      <c r="D660" t="s">
        <v>7</v>
      </c>
      <c r="E660" s="1">
        <v>44104</v>
      </c>
      <c r="F660" s="3">
        <v>4799.7000000000007</v>
      </c>
    </row>
    <row r="661" spans="1:6" x14ac:dyDescent="0.45">
      <c r="A661" t="s">
        <v>22</v>
      </c>
      <c r="B661" t="s">
        <v>9</v>
      </c>
      <c r="C661" t="s">
        <v>29</v>
      </c>
      <c r="D661" t="s">
        <v>24</v>
      </c>
      <c r="E661" s="1">
        <v>44104</v>
      </c>
      <c r="F661" s="3">
        <v>340.95</v>
      </c>
    </row>
    <row r="662" spans="1:6" x14ac:dyDescent="0.45">
      <c r="A662" t="s">
        <v>23</v>
      </c>
      <c r="B662" t="s">
        <v>17</v>
      </c>
      <c r="C662" t="s">
        <v>29</v>
      </c>
      <c r="D662" t="s">
        <v>10</v>
      </c>
      <c r="E662" s="1">
        <v>44104</v>
      </c>
      <c r="F662" s="3">
        <v>11999.25</v>
      </c>
    </row>
    <row r="663" spans="1:6" x14ac:dyDescent="0.45">
      <c r="A663" t="s">
        <v>16</v>
      </c>
      <c r="B663" t="s">
        <v>6</v>
      </c>
      <c r="C663" t="s">
        <v>29</v>
      </c>
      <c r="D663" t="s">
        <v>10</v>
      </c>
      <c r="E663" s="1">
        <v>44104</v>
      </c>
      <c r="F663" s="3">
        <v>1022.8499999999999</v>
      </c>
    </row>
    <row r="664" spans="1:6" x14ac:dyDescent="0.45">
      <c r="A664" t="s">
        <v>23</v>
      </c>
      <c r="B664" t="s">
        <v>14</v>
      </c>
      <c r="C664" t="s">
        <v>29</v>
      </c>
      <c r="D664" t="s">
        <v>24</v>
      </c>
      <c r="E664" s="1">
        <v>44104</v>
      </c>
      <c r="F664" s="3">
        <v>1689.5</v>
      </c>
    </row>
    <row r="665" spans="1:6" x14ac:dyDescent="0.45">
      <c r="A665" t="s">
        <v>11</v>
      </c>
      <c r="B665" t="s">
        <v>6</v>
      </c>
      <c r="C665" t="s">
        <v>30</v>
      </c>
      <c r="D665" t="s">
        <v>24</v>
      </c>
      <c r="E665" s="1">
        <v>44105</v>
      </c>
      <c r="F665" s="3">
        <v>4091.3999999999996</v>
      </c>
    </row>
    <row r="666" spans="1:6" x14ac:dyDescent="0.45">
      <c r="A666" t="s">
        <v>19</v>
      </c>
      <c r="B666" t="s">
        <v>17</v>
      </c>
      <c r="C666" t="s">
        <v>29</v>
      </c>
      <c r="D666" t="s">
        <v>21</v>
      </c>
      <c r="E666" s="1">
        <v>44105</v>
      </c>
      <c r="F666" s="3">
        <v>8799.4500000000007</v>
      </c>
    </row>
    <row r="667" spans="1:6" x14ac:dyDescent="0.45">
      <c r="A667" t="s">
        <v>26</v>
      </c>
      <c r="B667" t="s">
        <v>17</v>
      </c>
      <c r="C667" t="s">
        <v>30</v>
      </c>
      <c r="D667" t="s">
        <v>10</v>
      </c>
      <c r="E667" s="1">
        <v>44105</v>
      </c>
      <c r="F667" s="3">
        <v>3199.8</v>
      </c>
    </row>
    <row r="668" spans="1:6" x14ac:dyDescent="0.45">
      <c r="A668" t="s">
        <v>23</v>
      </c>
      <c r="B668" t="s">
        <v>12</v>
      </c>
      <c r="C668" t="s">
        <v>29</v>
      </c>
      <c r="D668" t="s">
        <v>24</v>
      </c>
      <c r="E668" s="1">
        <v>44105</v>
      </c>
      <c r="F668" s="3">
        <v>879.89</v>
      </c>
    </row>
    <row r="669" spans="1:6" x14ac:dyDescent="0.45">
      <c r="A669" t="s">
        <v>16</v>
      </c>
      <c r="B669" t="s">
        <v>14</v>
      </c>
      <c r="C669" t="s">
        <v>29</v>
      </c>
      <c r="D669" t="s">
        <v>10</v>
      </c>
      <c r="E669" s="1">
        <v>44106</v>
      </c>
      <c r="F669" s="3">
        <v>168.95</v>
      </c>
    </row>
    <row r="670" spans="1:6" x14ac:dyDescent="0.45">
      <c r="A670" t="s">
        <v>26</v>
      </c>
      <c r="B670" t="s">
        <v>9</v>
      </c>
      <c r="C670" t="s">
        <v>30</v>
      </c>
      <c r="D670" t="s">
        <v>10</v>
      </c>
      <c r="E670" s="1">
        <v>44106</v>
      </c>
      <c r="F670" s="3">
        <v>3068.5499999999997</v>
      </c>
    </row>
    <row r="671" spans="1:6" x14ac:dyDescent="0.45">
      <c r="A671" t="s">
        <v>20</v>
      </c>
      <c r="B671" t="s">
        <v>9</v>
      </c>
      <c r="C671" t="s">
        <v>32</v>
      </c>
      <c r="D671" t="s">
        <v>7</v>
      </c>
      <c r="E671" s="1">
        <v>44107</v>
      </c>
      <c r="F671" s="3">
        <v>6478.05</v>
      </c>
    </row>
    <row r="672" spans="1:6" x14ac:dyDescent="0.45">
      <c r="A672" t="s">
        <v>16</v>
      </c>
      <c r="B672" t="s">
        <v>9</v>
      </c>
      <c r="C672" t="s">
        <v>29</v>
      </c>
      <c r="D672" t="s">
        <v>7</v>
      </c>
      <c r="E672" s="1">
        <v>44107</v>
      </c>
      <c r="F672" s="3">
        <v>2045.6999999999998</v>
      </c>
    </row>
    <row r="673" spans="1:6" x14ac:dyDescent="0.45">
      <c r="A673" t="s">
        <v>5</v>
      </c>
      <c r="B673" t="s">
        <v>12</v>
      </c>
      <c r="C673" t="s">
        <v>32</v>
      </c>
      <c r="D673" t="s">
        <v>7</v>
      </c>
      <c r="E673" s="1">
        <v>44107</v>
      </c>
      <c r="F673" s="3">
        <v>1599.8</v>
      </c>
    </row>
    <row r="674" spans="1:6" x14ac:dyDescent="0.45">
      <c r="A674" t="s">
        <v>25</v>
      </c>
      <c r="B674" t="s">
        <v>17</v>
      </c>
      <c r="C674" t="s">
        <v>32</v>
      </c>
      <c r="D674" t="s">
        <v>13</v>
      </c>
      <c r="E674" s="1">
        <v>44107</v>
      </c>
      <c r="F674" s="3">
        <v>7199.55</v>
      </c>
    </row>
    <row r="675" spans="1:6" x14ac:dyDescent="0.45">
      <c r="A675" t="s">
        <v>23</v>
      </c>
      <c r="B675" t="s">
        <v>12</v>
      </c>
      <c r="C675" t="s">
        <v>29</v>
      </c>
      <c r="D675" t="s">
        <v>7</v>
      </c>
      <c r="E675" s="1">
        <v>44107</v>
      </c>
      <c r="F675" s="3">
        <v>1519.81</v>
      </c>
    </row>
    <row r="676" spans="1:6" x14ac:dyDescent="0.45">
      <c r="A676" t="s">
        <v>8</v>
      </c>
      <c r="B676" t="s">
        <v>14</v>
      </c>
      <c r="C676" t="s">
        <v>31</v>
      </c>
      <c r="D676" t="s">
        <v>10</v>
      </c>
      <c r="E676" s="1">
        <v>44108</v>
      </c>
      <c r="F676" s="3">
        <v>1013.6999999999999</v>
      </c>
    </row>
    <row r="677" spans="1:6" x14ac:dyDescent="0.45">
      <c r="A677" t="s">
        <v>22</v>
      </c>
      <c r="B677" t="s">
        <v>17</v>
      </c>
      <c r="C677" t="s">
        <v>29</v>
      </c>
      <c r="D677" t="s">
        <v>7</v>
      </c>
      <c r="E677" s="1">
        <v>44110</v>
      </c>
      <c r="F677" s="3">
        <v>11199.300000000001</v>
      </c>
    </row>
    <row r="678" spans="1:6" x14ac:dyDescent="0.45">
      <c r="A678" t="s">
        <v>19</v>
      </c>
      <c r="B678" t="s">
        <v>14</v>
      </c>
      <c r="C678" t="s">
        <v>29</v>
      </c>
      <c r="D678" t="s">
        <v>7</v>
      </c>
      <c r="E678" s="1">
        <v>44111</v>
      </c>
      <c r="F678" s="3">
        <v>3041.1</v>
      </c>
    </row>
    <row r="679" spans="1:6" x14ac:dyDescent="0.45">
      <c r="A679" t="s">
        <v>22</v>
      </c>
      <c r="B679" t="s">
        <v>14</v>
      </c>
      <c r="C679" t="s">
        <v>29</v>
      </c>
      <c r="D679" t="s">
        <v>13</v>
      </c>
      <c r="E679" s="1">
        <v>44111</v>
      </c>
      <c r="F679" s="3">
        <v>168.95</v>
      </c>
    </row>
    <row r="680" spans="1:6" x14ac:dyDescent="0.45">
      <c r="A680" t="s">
        <v>16</v>
      </c>
      <c r="B680" t="s">
        <v>14</v>
      </c>
      <c r="C680" t="s">
        <v>29</v>
      </c>
      <c r="D680" t="s">
        <v>13</v>
      </c>
      <c r="E680" s="1">
        <v>44111</v>
      </c>
      <c r="F680" s="3">
        <v>168.95</v>
      </c>
    </row>
    <row r="681" spans="1:6" x14ac:dyDescent="0.45">
      <c r="A681" t="s">
        <v>25</v>
      </c>
      <c r="B681" t="s">
        <v>9</v>
      </c>
      <c r="C681" t="s">
        <v>32</v>
      </c>
      <c r="D681" t="s">
        <v>7</v>
      </c>
      <c r="E681" s="1">
        <v>44111</v>
      </c>
      <c r="F681" s="3">
        <v>4091.3999999999996</v>
      </c>
    </row>
    <row r="682" spans="1:6" x14ac:dyDescent="0.45">
      <c r="A682" t="s">
        <v>23</v>
      </c>
      <c r="B682" t="s">
        <v>12</v>
      </c>
      <c r="C682" t="s">
        <v>29</v>
      </c>
      <c r="D682" t="s">
        <v>21</v>
      </c>
      <c r="E682" s="1">
        <v>44111</v>
      </c>
      <c r="F682" s="3">
        <v>1199.8499999999999</v>
      </c>
    </row>
    <row r="683" spans="1:6" x14ac:dyDescent="0.45">
      <c r="A683" t="s">
        <v>18</v>
      </c>
      <c r="B683" t="s">
        <v>12</v>
      </c>
      <c r="C683" t="s">
        <v>32</v>
      </c>
      <c r="D683" t="s">
        <v>13</v>
      </c>
      <c r="E683" s="1">
        <v>44112</v>
      </c>
      <c r="F683" s="3">
        <v>319.95999999999998</v>
      </c>
    </row>
    <row r="684" spans="1:6" x14ac:dyDescent="0.45">
      <c r="A684" t="s">
        <v>26</v>
      </c>
      <c r="B684" t="s">
        <v>9</v>
      </c>
      <c r="C684" t="s">
        <v>30</v>
      </c>
      <c r="D684" t="s">
        <v>21</v>
      </c>
      <c r="E684" s="1">
        <v>44112</v>
      </c>
      <c r="F684" s="3">
        <v>340.95</v>
      </c>
    </row>
    <row r="685" spans="1:6" x14ac:dyDescent="0.45">
      <c r="A685" t="s">
        <v>20</v>
      </c>
      <c r="B685" t="s">
        <v>6</v>
      </c>
      <c r="C685" t="s">
        <v>32</v>
      </c>
      <c r="D685" t="s">
        <v>10</v>
      </c>
      <c r="E685" s="1">
        <v>44112</v>
      </c>
      <c r="F685" s="3">
        <v>5114.25</v>
      </c>
    </row>
    <row r="686" spans="1:6" x14ac:dyDescent="0.45">
      <c r="A686" t="s">
        <v>5</v>
      </c>
      <c r="B686" t="s">
        <v>14</v>
      </c>
      <c r="C686" t="s">
        <v>32</v>
      </c>
      <c r="D686" t="s">
        <v>10</v>
      </c>
      <c r="E686" s="1">
        <v>44112</v>
      </c>
      <c r="F686" s="3">
        <v>675.8</v>
      </c>
    </row>
    <row r="687" spans="1:6" x14ac:dyDescent="0.45">
      <c r="A687" t="s">
        <v>20</v>
      </c>
      <c r="B687" t="s">
        <v>9</v>
      </c>
      <c r="C687" t="s">
        <v>32</v>
      </c>
      <c r="D687" t="s">
        <v>24</v>
      </c>
      <c r="E687" s="1">
        <v>44112</v>
      </c>
      <c r="F687" s="3">
        <v>2045.6999999999998</v>
      </c>
    </row>
    <row r="688" spans="1:6" x14ac:dyDescent="0.45">
      <c r="A688" t="s">
        <v>8</v>
      </c>
      <c r="B688" t="s">
        <v>6</v>
      </c>
      <c r="C688" t="s">
        <v>31</v>
      </c>
      <c r="D688" t="s">
        <v>24</v>
      </c>
      <c r="E688" s="1">
        <v>44112</v>
      </c>
      <c r="F688" s="3">
        <v>2386.65</v>
      </c>
    </row>
    <row r="689" spans="1:6" x14ac:dyDescent="0.45">
      <c r="A689" t="s">
        <v>26</v>
      </c>
      <c r="B689" t="s">
        <v>14</v>
      </c>
      <c r="C689" t="s">
        <v>30</v>
      </c>
      <c r="D689" t="s">
        <v>7</v>
      </c>
      <c r="E689" s="1">
        <v>44112</v>
      </c>
      <c r="F689" s="3">
        <v>1013.6999999999999</v>
      </c>
    </row>
    <row r="690" spans="1:6" x14ac:dyDescent="0.45">
      <c r="A690" t="s">
        <v>15</v>
      </c>
      <c r="B690" t="s">
        <v>17</v>
      </c>
      <c r="C690" t="s">
        <v>31</v>
      </c>
      <c r="D690" t="s">
        <v>21</v>
      </c>
      <c r="E690" s="1">
        <v>44112</v>
      </c>
      <c r="F690" s="3">
        <v>11999.25</v>
      </c>
    </row>
    <row r="691" spans="1:6" x14ac:dyDescent="0.45">
      <c r="A691" t="s">
        <v>15</v>
      </c>
      <c r="B691" t="s">
        <v>14</v>
      </c>
      <c r="C691" t="s">
        <v>31</v>
      </c>
      <c r="D691" t="s">
        <v>24</v>
      </c>
      <c r="E691" s="1">
        <v>44112</v>
      </c>
      <c r="F691" s="3">
        <v>2365.2999999999997</v>
      </c>
    </row>
    <row r="692" spans="1:6" x14ac:dyDescent="0.45">
      <c r="A692" t="s">
        <v>15</v>
      </c>
      <c r="B692" t="s">
        <v>9</v>
      </c>
      <c r="C692" t="s">
        <v>31</v>
      </c>
      <c r="D692" t="s">
        <v>24</v>
      </c>
      <c r="E692" s="1">
        <v>44112</v>
      </c>
      <c r="F692" s="3">
        <v>340.95</v>
      </c>
    </row>
    <row r="693" spans="1:6" x14ac:dyDescent="0.45">
      <c r="A693" t="s">
        <v>11</v>
      </c>
      <c r="B693" t="s">
        <v>14</v>
      </c>
      <c r="C693" t="s">
        <v>30</v>
      </c>
      <c r="D693" t="s">
        <v>24</v>
      </c>
      <c r="E693" s="1">
        <v>44113</v>
      </c>
      <c r="F693" s="3">
        <v>2027.3999999999999</v>
      </c>
    </row>
    <row r="694" spans="1:6" x14ac:dyDescent="0.45">
      <c r="A694" t="s">
        <v>5</v>
      </c>
      <c r="B694" t="s">
        <v>14</v>
      </c>
      <c r="C694" t="s">
        <v>32</v>
      </c>
      <c r="D694" t="s">
        <v>7</v>
      </c>
      <c r="E694" s="1">
        <v>44114</v>
      </c>
      <c r="F694" s="3">
        <v>1351.6</v>
      </c>
    </row>
    <row r="695" spans="1:6" x14ac:dyDescent="0.45">
      <c r="A695" t="s">
        <v>16</v>
      </c>
      <c r="B695" t="s">
        <v>6</v>
      </c>
      <c r="C695" t="s">
        <v>29</v>
      </c>
      <c r="D695" t="s">
        <v>24</v>
      </c>
      <c r="E695" s="1">
        <v>44115</v>
      </c>
      <c r="F695" s="3">
        <v>4091.3999999999996</v>
      </c>
    </row>
    <row r="696" spans="1:6" x14ac:dyDescent="0.45">
      <c r="A696" t="s">
        <v>11</v>
      </c>
      <c r="B696" t="s">
        <v>14</v>
      </c>
      <c r="C696" t="s">
        <v>30</v>
      </c>
      <c r="D696" t="s">
        <v>13</v>
      </c>
      <c r="E696" s="1">
        <v>44115</v>
      </c>
      <c r="F696" s="3">
        <v>1689.5</v>
      </c>
    </row>
    <row r="697" spans="1:6" x14ac:dyDescent="0.45">
      <c r="A697" t="s">
        <v>11</v>
      </c>
      <c r="B697" t="s">
        <v>6</v>
      </c>
      <c r="C697" t="s">
        <v>30</v>
      </c>
      <c r="D697" t="s">
        <v>13</v>
      </c>
      <c r="E697" s="1">
        <v>44117</v>
      </c>
      <c r="F697" s="3">
        <v>1363.8</v>
      </c>
    </row>
    <row r="698" spans="1:6" x14ac:dyDescent="0.45">
      <c r="A698" t="s">
        <v>19</v>
      </c>
      <c r="B698" t="s">
        <v>9</v>
      </c>
      <c r="C698" t="s">
        <v>29</v>
      </c>
      <c r="D698" t="s">
        <v>24</v>
      </c>
      <c r="E698" s="1">
        <v>44117</v>
      </c>
      <c r="F698" s="3">
        <v>340.95</v>
      </c>
    </row>
    <row r="699" spans="1:6" x14ac:dyDescent="0.45">
      <c r="A699" t="s">
        <v>16</v>
      </c>
      <c r="B699" t="s">
        <v>12</v>
      </c>
      <c r="C699" t="s">
        <v>29</v>
      </c>
      <c r="D699" t="s">
        <v>13</v>
      </c>
      <c r="E699" s="1">
        <v>44118</v>
      </c>
      <c r="F699" s="3">
        <v>79.989999999999995</v>
      </c>
    </row>
    <row r="700" spans="1:6" x14ac:dyDescent="0.45">
      <c r="A700" t="s">
        <v>5</v>
      </c>
      <c r="B700" t="s">
        <v>17</v>
      </c>
      <c r="C700" t="s">
        <v>32</v>
      </c>
      <c r="D700" t="s">
        <v>21</v>
      </c>
      <c r="E700" s="1">
        <v>44118</v>
      </c>
      <c r="F700" s="3">
        <v>2399.8500000000004</v>
      </c>
    </row>
    <row r="701" spans="1:6" x14ac:dyDescent="0.45">
      <c r="A701" t="s">
        <v>19</v>
      </c>
      <c r="B701" t="s">
        <v>9</v>
      </c>
      <c r="C701" t="s">
        <v>29</v>
      </c>
      <c r="D701" t="s">
        <v>7</v>
      </c>
      <c r="E701" s="1">
        <v>44119</v>
      </c>
      <c r="F701" s="3">
        <v>4432.3499999999995</v>
      </c>
    </row>
    <row r="702" spans="1:6" x14ac:dyDescent="0.45">
      <c r="A702" t="s">
        <v>18</v>
      </c>
      <c r="B702" t="s">
        <v>12</v>
      </c>
      <c r="C702" t="s">
        <v>32</v>
      </c>
      <c r="D702" t="s">
        <v>21</v>
      </c>
      <c r="E702" s="1">
        <v>44119</v>
      </c>
      <c r="F702" s="3">
        <v>159.97999999999999</v>
      </c>
    </row>
    <row r="703" spans="1:6" x14ac:dyDescent="0.45">
      <c r="A703" t="s">
        <v>8</v>
      </c>
      <c r="B703" t="s">
        <v>12</v>
      </c>
      <c r="C703" t="s">
        <v>31</v>
      </c>
      <c r="D703" t="s">
        <v>13</v>
      </c>
      <c r="E703" s="1">
        <v>44120</v>
      </c>
      <c r="F703" s="3">
        <v>319.95999999999998</v>
      </c>
    </row>
    <row r="704" spans="1:6" x14ac:dyDescent="0.45">
      <c r="A704" t="s">
        <v>25</v>
      </c>
      <c r="B704" t="s">
        <v>12</v>
      </c>
      <c r="C704" t="s">
        <v>32</v>
      </c>
      <c r="D704" t="s">
        <v>10</v>
      </c>
      <c r="E704" s="1">
        <v>44120</v>
      </c>
      <c r="F704" s="3">
        <v>79.989999999999995</v>
      </c>
    </row>
    <row r="705" spans="1:6" x14ac:dyDescent="0.45">
      <c r="A705" t="s">
        <v>25</v>
      </c>
      <c r="B705" t="s">
        <v>9</v>
      </c>
      <c r="C705" t="s">
        <v>32</v>
      </c>
      <c r="D705" t="s">
        <v>10</v>
      </c>
      <c r="E705" s="1">
        <v>44120</v>
      </c>
      <c r="F705" s="3">
        <v>1022.8499999999999</v>
      </c>
    </row>
    <row r="706" spans="1:6" x14ac:dyDescent="0.45">
      <c r="A706" t="s">
        <v>16</v>
      </c>
      <c r="B706" t="s">
        <v>6</v>
      </c>
      <c r="C706" t="s">
        <v>29</v>
      </c>
      <c r="D706" t="s">
        <v>21</v>
      </c>
      <c r="E706" s="1">
        <v>44122</v>
      </c>
      <c r="F706" s="3">
        <v>2727.6</v>
      </c>
    </row>
    <row r="707" spans="1:6" x14ac:dyDescent="0.45">
      <c r="A707" t="s">
        <v>25</v>
      </c>
      <c r="B707" t="s">
        <v>17</v>
      </c>
      <c r="C707" t="s">
        <v>32</v>
      </c>
      <c r="D707" t="s">
        <v>7</v>
      </c>
      <c r="E707" s="1">
        <v>44124</v>
      </c>
      <c r="F707" s="3">
        <v>8799.4500000000007</v>
      </c>
    </row>
    <row r="708" spans="1:6" x14ac:dyDescent="0.45">
      <c r="A708" t="s">
        <v>11</v>
      </c>
      <c r="B708" t="s">
        <v>14</v>
      </c>
      <c r="C708" t="s">
        <v>30</v>
      </c>
      <c r="D708" t="s">
        <v>13</v>
      </c>
      <c r="E708" s="1">
        <v>44125</v>
      </c>
      <c r="F708" s="3">
        <v>1182.6499999999999</v>
      </c>
    </row>
    <row r="709" spans="1:6" x14ac:dyDescent="0.45">
      <c r="A709" t="s">
        <v>18</v>
      </c>
      <c r="B709" t="s">
        <v>6</v>
      </c>
      <c r="C709" t="s">
        <v>32</v>
      </c>
      <c r="D709" t="s">
        <v>13</v>
      </c>
      <c r="E709" s="1">
        <v>44126</v>
      </c>
      <c r="F709" s="3">
        <v>2045.6999999999998</v>
      </c>
    </row>
    <row r="710" spans="1:6" x14ac:dyDescent="0.45">
      <c r="A710" t="s">
        <v>18</v>
      </c>
      <c r="B710" t="s">
        <v>9</v>
      </c>
      <c r="C710" t="s">
        <v>32</v>
      </c>
      <c r="D710" t="s">
        <v>13</v>
      </c>
      <c r="E710" s="1">
        <v>44126</v>
      </c>
      <c r="F710" s="3">
        <v>2386.65</v>
      </c>
    </row>
    <row r="711" spans="1:6" x14ac:dyDescent="0.45">
      <c r="A711" t="s">
        <v>8</v>
      </c>
      <c r="B711" t="s">
        <v>17</v>
      </c>
      <c r="C711" t="s">
        <v>31</v>
      </c>
      <c r="D711" t="s">
        <v>13</v>
      </c>
      <c r="E711" s="1">
        <v>44126</v>
      </c>
      <c r="F711" s="3">
        <v>10399.35</v>
      </c>
    </row>
    <row r="712" spans="1:6" x14ac:dyDescent="0.45">
      <c r="A712" t="s">
        <v>15</v>
      </c>
      <c r="B712" t="s">
        <v>17</v>
      </c>
      <c r="C712" t="s">
        <v>31</v>
      </c>
      <c r="D712" t="s">
        <v>21</v>
      </c>
      <c r="E712" s="1">
        <v>44126</v>
      </c>
      <c r="F712" s="3">
        <v>3999.75</v>
      </c>
    </row>
    <row r="713" spans="1:6" x14ac:dyDescent="0.45">
      <c r="A713" t="s">
        <v>18</v>
      </c>
      <c r="B713" t="s">
        <v>14</v>
      </c>
      <c r="C713" t="s">
        <v>32</v>
      </c>
      <c r="D713" t="s">
        <v>10</v>
      </c>
      <c r="E713" s="1">
        <v>44126</v>
      </c>
      <c r="F713" s="3">
        <v>337.9</v>
      </c>
    </row>
    <row r="714" spans="1:6" x14ac:dyDescent="0.45">
      <c r="A714" t="s">
        <v>18</v>
      </c>
      <c r="B714" t="s">
        <v>9</v>
      </c>
      <c r="C714" t="s">
        <v>32</v>
      </c>
      <c r="D714" t="s">
        <v>24</v>
      </c>
      <c r="E714" s="1">
        <v>44126</v>
      </c>
      <c r="F714" s="3">
        <v>681.9</v>
      </c>
    </row>
    <row r="715" spans="1:6" x14ac:dyDescent="0.45">
      <c r="A715" t="s">
        <v>22</v>
      </c>
      <c r="B715" t="s">
        <v>12</v>
      </c>
      <c r="C715" t="s">
        <v>29</v>
      </c>
      <c r="D715" t="s">
        <v>24</v>
      </c>
      <c r="E715" s="1">
        <v>44127</v>
      </c>
      <c r="F715" s="3">
        <v>959.87999999999988</v>
      </c>
    </row>
    <row r="716" spans="1:6" x14ac:dyDescent="0.45">
      <c r="A716" t="s">
        <v>15</v>
      </c>
      <c r="B716" t="s">
        <v>9</v>
      </c>
      <c r="C716" t="s">
        <v>31</v>
      </c>
      <c r="D716" t="s">
        <v>13</v>
      </c>
      <c r="E716" s="1">
        <v>44128</v>
      </c>
      <c r="F716" s="3">
        <v>2045.6999999999998</v>
      </c>
    </row>
    <row r="717" spans="1:6" x14ac:dyDescent="0.45">
      <c r="A717" t="s">
        <v>15</v>
      </c>
      <c r="B717" t="s">
        <v>6</v>
      </c>
      <c r="C717" t="s">
        <v>31</v>
      </c>
      <c r="D717" t="s">
        <v>10</v>
      </c>
      <c r="E717" s="1">
        <v>44128</v>
      </c>
      <c r="F717" s="3">
        <v>340.95</v>
      </c>
    </row>
    <row r="718" spans="1:6" x14ac:dyDescent="0.45">
      <c r="A718" t="s">
        <v>23</v>
      </c>
      <c r="B718" t="s">
        <v>12</v>
      </c>
      <c r="C718" t="s">
        <v>29</v>
      </c>
      <c r="D718" t="s">
        <v>13</v>
      </c>
      <c r="E718" s="1">
        <v>44129</v>
      </c>
      <c r="F718" s="3">
        <v>959.87999999999988</v>
      </c>
    </row>
    <row r="719" spans="1:6" x14ac:dyDescent="0.45">
      <c r="A719" t="s">
        <v>16</v>
      </c>
      <c r="B719" t="s">
        <v>17</v>
      </c>
      <c r="C719" t="s">
        <v>29</v>
      </c>
      <c r="D719" t="s">
        <v>13</v>
      </c>
      <c r="E719" s="1">
        <v>44129</v>
      </c>
      <c r="F719" s="3">
        <v>1599.9</v>
      </c>
    </row>
    <row r="720" spans="1:6" x14ac:dyDescent="0.45">
      <c r="A720" t="s">
        <v>15</v>
      </c>
      <c r="B720" t="s">
        <v>6</v>
      </c>
      <c r="C720" t="s">
        <v>31</v>
      </c>
      <c r="D720" t="s">
        <v>21</v>
      </c>
      <c r="E720" s="1">
        <v>44129</v>
      </c>
      <c r="F720" s="3">
        <v>1704.75</v>
      </c>
    </row>
    <row r="721" spans="1:6" x14ac:dyDescent="0.45">
      <c r="A721" t="s">
        <v>15</v>
      </c>
      <c r="B721" t="s">
        <v>9</v>
      </c>
      <c r="C721" t="s">
        <v>31</v>
      </c>
      <c r="D721" t="s">
        <v>10</v>
      </c>
      <c r="E721" s="1">
        <v>44129</v>
      </c>
      <c r="F721" s="3">
        <v>2727.6</v>
      </c>
    </row>
    <row r="722" spans="1:6" x14ac:dyDescent="0.45">
      <c r="A722" t="s">
        <v>26</v>
      </c>
      <c r="B722" t="s">
        <v>9</v>
      </c>
      <c r="C722" t="s">
        <v>30</v>
      </c>
      <c r="D722" t="s">
        <v>7</v>
      </c>
      <c r="E722" s="1">
        <v>44129</v>
      </c>
      <c r="F722" s="3">
        <v>6137.0999999999995</v>
      </c>
    </row>
    <row r="723" spans="1:6" x14ac:dyDescent="0.45">
      <c r="A723" t="s">
        <v>11</v>
      </c>
      <c r="B723" t="s">
        <v>14</v>
      </c>
      <c r="C723" t="s">
        <v>30</v>
      </c>
      <c r="D723" t="s">
        <v>10</v>
      </c>
      <c r="E723" s="1">
        <v>44129</v>
      </c>
      <c r="F723" s="3">
        <v>168.95</v>
      </c>
    </row>
    <row r="724" spans="1:6" x14ac:dyDescent="0.45">
      <c r="A724" t="s">
        <v>16</v>
      </c>
      <c r="B724" t="s">
        <v>9</v>
      </c>
      <c r="C724" t="s">
        <v>29</v>
      </c>
      <c r="D724" t="s">
        <v>13</v>
      </c>
      <c r="E724" s="1">
        <v>44130</v>
      </c>
      <c r="F724" s="3">
        <v>1363.8</v>
      </c>
    </row>
    <row r="725" spans="1:6" x14ac:dyDescent="0.45">
      <c r="A725" t="s">
        <v>5</v>
      </c>
      <c r="B725" t="s">
        <v>9</v>
      </c>
      <c r="C725" t="s">
        <v>32</v>
      </c>
      <c r="D725" t="s">
        <v>7</v>
      </c>
      <c r="E725" s="1">
        <v>44131</v>
      </c>
      <c r="F725" s="3">
        <v>5455.2</v>
      </c>
    </row>
    <row r="726" spans="1:6" x14ac:dyDescent="0.45">
      <c r="A726" t="s">
        <v>18</v>
      </c>
      <c r="B726" t="s">
        <v>6</v>
      </c>
      <c r="C726" t="s">
        <v>32</v>
      </c>
      <c r="D726" t="s">
        <v>10</v>
      </c>
      <c r="E726" s="1">
        <v>44132</v>
      </c>
      <c r="F726" s="3">
        <v>681.9</v>
      </c>
    </row>
    <row r="727" spans="1:6" x14ac:dyDescent="0.45">
      <c r="A727" t="s">
        <v>25</v>
      </c>
      <c r="B727" t="s">
        <v>6</v>
      </c>
      <c r="C727" t="s">
        <v>30</v>
      </c>
      <c r="D727" t="s">
        <v>24</v>
      </c>
      <c r="E727" s="1">
        <v>44132</v>
      </c>
      <c r="F727" s="3">
        <v>1704.75</v>
      </c>
    </row>
    <row r="728" spans="1:6" x14ac:dyDescent="0.45">
      <c r="A728" t="s">
        <v>15</v>
      </c>
      <c r="B728" t="s">
        <v>14</v>
      </c>
      <c r="C728" t="s">
        <v>31</v>
      </c>
      <c r="D728" t="s">
        <v>7</v>
      </c>
      <c r="E728" s="1">
        <v>44132</v>
      </c>
      <c r="F728" s="3">
        <v>3041.1</v>
      </c>
    </row>
    <row r="729" spans="1:6" x14ac:dyDescent="0.45">
      <c r="A729" t="s">
        <v>26</v>
      </c>
      <c r="B729" t="s">
        <v>12</v>
      </c>
      <c r="C729" t="s">
        <v>30</v>
      </c>
      <c r="D729" t="s">
        <v>21</v>
      </c>
      <c r="E729" s="1">
        <v>44132</v>
      </c>
      <c r="F729" s="3">
        <v>639.91999999999996</v>
      </c>
    </row>
    <row r="730" spans="1:6" x14ac:dyDescent="0.45">
      <c r="A730" t="s">
        <v>15</v>
      </c>
      <c r="B730" t="s">
        <v>17</v>
      </c>
      <c r="C730" t="s">
        <v>31</v>
      </c>
      <c r="D730" t="s">
        <v>10</v>
      </c>
      <c r="E730" s="1">
        <v>44132</v>
      </c>
      <c r="F730" s="3">
        <v>10399.35</v>
      </c>
    </row>
    <row r="731" spans="1:6" x14ac:dyDescent="0.45">
      <c r="A731" t="s">
        <v>5</v>
      </c>
      <c r="B731" t="s">
        <v>17</v>
      </c>
      <c r="C731" t="s">
        <v>32</v>
      </c>
      <c r="D731" t="s">
        <v>10</v>
      </c>
      <c r="E731" s="1">
        <v>44132</v>
      </c>
      <c r="F731" s="3">
        <v>3999.75</v>
      </c>
    </row>
    <row r="732" spans="1:6" x14ac:dyDescent="0.45">
      <c r="A732" t="s">
        <v>11</v>
      </c>
      <c r="B732" t="s">
        <v>14</v>
      </c>
      <c r="C732" t="s">
        <v>30</v>
      </c>
      <c r="D732" t="s">
        <v>21</v>
      </c>
      <c r="E732" s="1">
        <v>44133</v>
      </c>
      <c r="F732" s="3">
        <v>2027.3999999999999</v>
      </c>
    </row>
    <row r="733" spans="1:6" x14ac:dyDescent="0.45">
      <c r="A733" t="s">
        <v>5</v>
      </c>
      <c r="B733" t="s">
        <v>14</v>
      </c>
      <c r="C733" t="s">
        <v>32</v>
      </c>
      <c r="D733" t="s">
        <v>21</v>
      </c>
      <c r="E733" s="1">
        <v>44133</v>
      </c>
      <c r="F733" s="3">
        <v>2534.25</v>
      </c>
    </row>
    <row r="734" spans="1:6" x14ac:dyDescent="0.45">
      <c r="A734" t="s">
        <v>16</v>
      </c>
      <c r="B734" t="s">
        <v>17</v>
      </c>
      <c r="C734" t="s">
        <v>29</v>
      </c>
      <c r="D734" t="s">
        <v>13</v>
      </c>
      <c r="E734" s="1">
        <v>44134</v>
      </c>
      <c r="F734" s="3">
        <v>7199.55</v>
      </c>
    </row>
    <row r="735" spans="1:6" x14ac:dyDescent="0.45">
      <c r="A735" t="s">
        <v>20</v>
      </c>
      <c r="B735" t="s">
        <v>6</v>
      </c>
      <c r="C735" t="s">
        <v>32</v>
      </c>
      <c r="D735" t="s">
        <v>24</v>
      </c>
      <c r="E735" s="1">
        <v>44134</v>
      </c>
      <c r="F735" s="3">
        <v>1704.75</v>
      </c>
    </row>
    <row r="736" spans="1:6" x14ac:dyDescent="0.45">
      <c r="A736" t="s">
        <v>18</v>
      </c>
      <c r="B736" t="s">
        <v>17</v>
      </c>
      <c r="C736" t="s">
        <v>32</v>
      </c>
      <c r="D736" t="s">
        <v>13</v>
      </c>
      <c r="E736" s="1">
        <v>44135</v>
      </c>
      <c r="F736" s="3">
        <v>3199.8</v>
      </c>
    </row>
    <row r="737" spans="1:6" x14ac:dyDescent="0.45">
      <c r="A737" t="s">
        <v>8</v>
      </c>
      <c r="B737" t="s">
        <v>9</v>
      </c>
      <c r="C737" t="s">
        <v>31</v>
      </c>
      <c r="D737" t="s">
        <v>24</v>
      </c>
      <c r="E737" s="1">
        <v>44135</v>
      </c>
      <c r="F737" s="3">
        <v>5114.25</v>
      </c>
    </row>
    <row r="738" spans="1:6" x14ac:dyDescent="0.45">
      <c r="A738" t="s">
        <v>16</v>
      </c>
      <c r="B738" t="s">
        <v>14</v>
      </c>
      <c r="C738" t="s">
        <v>29</v>
      </c>
      <c r="D738" t="s">
        <v>13</v>
      </c>
      <c r="E738" s="1">
        <v>44135</v>
      </c>
      <c r="F738" s="3">
        <v>337.9</v>
      </c>
    </row>
    <row r="739" spans="1:6" x14ac:dyDescent="0.45">
      <c r="A739" t="s">
        <v>23</v>
      </c>
      <c r="B739" t="s">
        <v>17</v>
      </c>
      <c r="C739" t="s">
        <v>29</v>
      </c>
      <c r="D739" t="s">
        <v>13</v>
      </c>
      <c r="E739" s="1">
        <v>44136</v>
      </c>
      <c r="F739" s="3">
        <v>7999.5</v>
      </c>
    </row>
    <row r="740" spans="1:6" x14ac:dyDescent="0.45">
      <c r="A740" t="s">
        <v>25</v>
      </c>
      <c r="B740" t="s">
        <v>14</v>
      </c>
      <c r="C740" t="s">
        <v>32</v>
      </c>
      <c r="D740" t="s">
        <v>10</v>
      </c>
      <c r="E740" s="1">
        <v>44136</v>
      </c>
      <c r="F740" s="3">
        <v>2196.35</v>
      </c>
    </row>
    <row r="741" spans="1:6" x14ac:dyDescent="0.45">
      <c r="A741" t="s">
        <v>22</v>
      </c>
      <c r="B741" t="s">
        <v>9</v>
      </c>
      <c r="C741" t="s">
        <v>29</v>
      </c>
      <c r="D741" t="s">
        <v>10</v>
      </c>
      <c r="E741" s="1">
        <v>44137</v>
      </c>
      <c r="F741" s="3">
        <v>681.9</v>
      </c>
    </row>
    <row r="742" spans="1:6" x14ac:dyDescent="0.45">
      <c r="A742" t="s">
        <v>16</v>
      </c>
      <c r="B742" t="s">
        <v>17</v>
      </c>
      <c r="C742" t="s">
        <v>29</v>
      </c>
      <c r="D742" t="s">
        <v>7</v>
      </c>
      <c r="E742" s="1">
        <v>44138</v>
      </c>
      <c r="F742" s="3">
        <v>6399.6</v>
      </c>
    </row>
    <row r="743" spans="1:6" x14ac:dyDescent="0.45">
      <c r="A743" t="s">
        <v>25</v>
      </c>
      <c r="B743" t="s">
        <v>14</v>
      </c>
      <c r="C743" t="s">
        <v>32</v>
      </c>
      <c r="D743" t="s">
        <v>7</v>
      </c>
      <c r="E743" s="1">
        <v>44139</v>
      </c>
      <c r="F743" s="3">
        <v>1858.4499999999998</v>
      </c>
    </row>
    <row r="744" spans="1:6" x14ac:dyDescent="0.45">
      <c r="A744" t="s">
        <v>25</v>
      </c>
      <c r="B744" t="s">
        <v>14</v>
      </c>
      <c r="C744" t="s">
        <v>32</v>
      </c>
      <c r="D744" t="s">
        <v>10</v>
      </c>
      <c r="E744" s="1">
        <v>44139</v>
      </c>
      <c r="F744" s="3">
        <v>337.9</v>
      </c>
    </row>
    <row r="745" spans="1:6" x14ac:dyDescent="0.45">
      <c r="A745" t="s">
        <v>19</v>
      </c>
      <c r="B745" t="s">
        <v>17</v>
      </c>
      <c r="C745" t="s">
        <v>29</v>
      </c>
      <c r="D745" t="s">
        <v>13</v>
      </c>
      <c r="E745" s="1">
        <v>44139</v>
      </c>
      <c r="F745" s="3">
        <v>5599.6500000000005</v>
      </c>
    </row>
    <row r="746" spans="1:6" x14ac:dyDescent="0.45">
      <c r="A746" t="s">
        <v>15</v>
      </c>
      <c r="B746" t="s">
        <v>6</v>
      </c>
      <c r="C746" t="s">
        <v>31</v>
      </c>
      <c r="D746" t="s">
        <v>10</v>
      </c>
      <c r="E746" s="1">
        <v>44139</v>
      </c>
      <c r="F746" s="3">
        <v>3750.45</v>
      </c>
    </row>
    <row r="747" spans="1:6" x14ac:dyDescent="0.45">
      <c r="A747" t="s">
        <v>23</v>
      </c>
      <c r="B747" t="s">
        <v>9</v>
      </c>
      <c r="C747" t="s">
        <v>29</v>
      </c>
      <c r="D747" t="s">
        <v>24</v>
      </c>
      <c r="E747" s="1">
        <v>44139</v>
      </c>
      <c r="F747" s="3">
        <v>3750.45</v>
      </c>
    </row>
    <row r="748" spans="1:6" x14ac:dyDescent="0.45">
      <c r="A748" t="s">
        <v>15</v>
      </c>
      <c r="B748" t="s">
        <v>17</v>
      </c>
      <c r="C748" t="s">
        <v>31</v>
      </c>
      <c r="D748" t="s">
        <v>24</v>
      </c>
      <c r="E748" s="1">
        <v>44140</v>
      </c>
      <c r="F748" s="3">
        <v>5599.6500000000005</v>
      </c>
    </row>
    <row r="749" spans="1:6" x14ac:dyDescent="0.45">
      <c r="A749" t="s">
        <v>22</v>
      </c>
      <c r="B749" t="s">
        <v>6</v>
      </c>
      <c r="C749" t="s">
        <v>29</v>
      </c>
      <c r="D749" t="s">
        <v>24</v>
      </c>
      <c r="E749" s="1">
        <v>44140</v>
      </c>
      <c r="F749" s="3">
        <v>2045.6999999999998</v>
      </c>
    </row>
    <row r="750" spans="1:6" x14ac:dyDescent="0.45">
      <c r="A750" t="s">
        <v>19</v>
      </c>
      <c r="B750" t="s">
        <v>17</v>
      </c>
      <c r="C750" t="s">
        <v>29</v>
      </c>
      <c r="D750" t="s">
        <v>13</v>
      </c>
      <c r="E750" s="1">
        <v>44140</v>
      </c>
      <c r="F750" s="3">
        <v>10399.35</v>
      </c>
    </row>
    <row r="751" spans="1:6" x14ac:dyDescent="0.45">
      <c r="A751" t="s">
        <v>16</v>
      </c>
      <c r="B751" t="s">
        <v>12</v>
      </c>
      <c r="C751" t="s">
        <v>29</v>
      </c>
      <c r="D751" t="s">
        <v>13</v>
      </c>
      <c r="E751" s="1">
        <v>44140</v>
      </c>
      <c r="F751" s="3">
        <v>79.989999999999995</v>
      </c>
    </row>
    <row r="752" spans="1:6" x14ac:dyDescent="0.45">
      <c r="A752" t="s">
        <v>11</v>
      </c>
      <c r="B752" t="s">
        <v>9</v>
      </c>
      <c r="C752" t="s">
        <v>30</v>
      </c>
      <c r="D752" t="s">
        <v>10</v>
      </c>
      <c r="E752" s="1">
        <v>44140</v>
      </c>
      <c r="F752" s="3">
        <v>2727.6</v>
      </c>
    </row>
    <row r="753" spans="1:6" x14ac:dyDescent="0.45">
      <c r="A753" t="s">
        <v>5</v>
      </c>
      <c r="B753" t="s">
        <v>17</v>
      </c>
      <c r="C753" t="s">
        <v>32</v>
      </c>
      <c r="D753" t="s">
        <v>13</v>
      </c>
      <c r="E753" s="1">
        <v>44141</v>
      </c>
      <c r="F753" s="3">
        <v>1599.9</v>
      </c>
    </row>
    <row r="754" spans="1:6" x14ac:dyDescent="0.45">
      <c r="A754" t="s">
        <v>15</v>
      </c>
      <c r="B754" t="s">
        <v>6</v>
      </c>
      <c r="C754" t="s">
        <v>31</v>
      </c>
      <c r="D754" t="s">
        <v>7</v>
      </c>
      <c r="E754" s="1">
        <v>44141</v>
      </c>
      <c r="F754" s="3">
        <v>5796.15</v>
      </c>
    </row>
    <row r="755" spans="1:6" x14ac:dyDescent="0.45">
      <c r="A755" t="s">
        <v>5</v>
      </c>
      <c r="B755" t="s">
        <v>14</v>
      </c>
      <c r="C755" t="s">
        <v>32</v>
      </c>
      <c r="D755" t="s">
        <v>21</v>
      </c>
      <c r="E755" s="1">
        <v>44141</v>
      </c>
      <c r="F755" s="3">
        <v>1182.6499999999999</v>
      </c>
    </row>
    <row r="756" spans="1:6" x14ac:dyDescent="0.45">
      <c r="A756" t="s">
        <v>15</v>
      </c>
      <c r="B756" t="s">
        <v>6</v>
      </c>
      <c r="C756" t="s">
        <v>31</v>
      </c>
      <c r="D756" t="s">
        <v>21</v>
      </c>
      <c r="E756" s="1">
        <v>44142</v>
      </c>
      <c r="F756" s="3">
        <v>2045.6999999999998</v>
      </c>
    </row>
    <row r="757" spans="1:6" x14ac:dyDescent="0.45">
      <c r="A757" t="s">
        <v>11</v>
      </c>
      <c r="B757" t="s">
        <v>12</v>
      </c>
      <c r="C757" t="s">
        <v>30</v>
      </c>
      <c r="D757" t="s">
        <v>7</v>
      </c>
      <c r="E757" s="1">
        <v>44143</v>
      </c>
      <c r="F757" s="3">
        <v>719.91</v>
      </c>
    </row>
    <row r="758" spans="1:6" x14ac:dyDescent="0.45">
      <c r="A758" t="s">
        <v>11</v>
      </c>
      <c r="B758" t="s">
        <v>14</v>
      </c>
      <c r="C758" t="s">
        <v>30</v>
      </c>
      <c r="D758" t="s">
        <v>10</v>
      </c>
      <c r="E758" s="1">
        <v>44143</v>
      </c>
      <c r="F758" s="3">
        <v>1858.4499999999998</v>
      </c>
    </row>
    <row r="759" spans="1:6" x14ac:dyDescent="0.45">
      <c r="A759" t="s">
        <v>5</v>
      </c>
      <c r="B759" t="s">
        <v>14</v>
      </c>
      <c r="C759" t="s">
        <v>32</v>
      </c>
      <c r="D759" t="s">
        <v>7</v>
      </c>
      <c r="E759" s="1">
        <v>44143</v>
      </c>
      <c r="F759" s="3">
        <v>1520.55</v>
      </c>
    </row>
    <row r="760" spans="1:6" x14ac:dyDescent="0.45">
      <c r="A760" t="s">
        <v>19</v>
      </c>
      <c r="B760" t="s">
        <v>14</v>
      </c>
      <c r="C760" t="s">
        <v>29</v>
      </c>
      <c r="D760" t="s">
        <v>24</v>
      </c>
      <c r="E760" s="1">
        <v>44143</v>
      </c>
      <c r="F760" s="3">
        <v>1520.55</v>
      </c>
    </row>
    <row r="761" spans="1:6" x14ac:dyDescent="0.45">
      <c r="A761" t="s">
        <v>15</v>
      </c>
      <c r="B761" t="s">
        <v>6</v>
      </c>
      <c r="C761" t="s">
        <v>31</v>
      </c>
      <c r="D761" t="s">
        <v>21</v>
      </c>
      <c r="E761" s="1">
        <v>44146</v>
      </c>
      <c r="F761" s="3">
        <v>3409.5</v>
      </c>
    </row>
    <row r="762" spans="1:6" x14ac:dyDescent="0.45">
      <c r="A762" t="s">
        <v>8</v>
      </c>
      <c r="B762" t="s">
        <v>12</v>
      </c>
      <c r="C762" t="s">
        <v>31</v>
      </c>
      <c r="D762" t="s">
        <v>21</v>
      </c>
      <c r="E762" s="1">
        <v>44146</v>
      </c>
      <c r="F762" s="3">
        <v>79.989999999999995</v>
      </c>
    </row>
    <row r="763" spans="1:6" x14ac:dyDescent="0.45">
      <c r="A763" t="s">
        <v>25</v>
      </c>
      <c r="B763" t="s">
        <v>14</v>
      </c>
      <c r="C763" t="s">
        <v>32</v>
      </c>
      <c r="D763" t="s">
        <v>10</v>
      </c>
      <c r="E763" s="1">
        <v>44146</v>
      </c>
      <c r="F763" s="3">
        <v>2196.35</v>
      </c>
    </row>
    <row r="764" spans="1:6" x14ac:dyDescent="0.45">
      <c r="A764" t="s">
        <v>22</v>
      </c>
      <c r="B764" t="s">
        <v>12</v>
      </c>
      <c r="C764" t="s">
        <v>29</v>
      </c>
      <c r="D764" t="s">
        <v>13</v>
      </c>
      <c r="E764" s="1">
        <v>44147</v>
      </c>
      <c r="F764" s="3">
        <v>1039.8699999999999</v>
      </c>
    </row>
    <row r="765" spans="1:6" x14ac:dyDescent="0.45">
      <c r="A765" t="s">
        <v>15</v>
      </c>
      <c r="B765" t="s">
        <v>6</v>
      </c>
      <c r="C765" t="s">
        <v>31</v>
      </c>
      <c r="D765" t="s">
        <v>7</v>
      </c>
      <c r="E765" s="1">
        <v>44147</v>
      </c>
      <c r="F765" s="3">
        <v>5455.2</v>
      </c>
    </row>
    <row r="766" spans="1:6" x14ac:dyDescent="0.45">
      <c r="A766" t="s">
        <v>23</v>
      </c>
      <c r="B766" t="s">
        <v>14</v>
      </c>
      <c r="C766" t="s">
        <v>29</v>
      </c>
      <c r="D766" t="s">
        <v>7</v>
      </c>
      <c r="E766" s="1">
        <v>44147</v>
      </c>
      <c r="F766" s="3">
        <v>1858.4499999999998</v>
      </c>
    </row>
    <row r="767" spans="1:6" x14ac:dyDescent="0.45">
      <c r="A767" t="s">
        <v>20</v>
      </c>
      <c r="B767" t="s">
        <v>12</v>
      </c>
      <c r="C767" t="s">
        <v>32</v>
      </c>
      <c r="D767" t="s">
        <v>7</v>
      </c>
      <c r="E767" s="1">
        <v>44147</v>
      </c>
      <c r="F767" s="3">
        <v>799.9</v>
      </c>
    </row>
    <row r="768" spans="1:6" x14ac:dyDescent="0.45">
      <c r="A768" t="s">
        <v>23</v>
      </c>
      <c r="B768" t="s">
        <v>14</v>
      </c>
      <c r="C768" t="s">
        <v>29</v>
      </c>
      <c r="D768" t="s">
        <v>21</v>
      </c>
      <c r="E768" s="1">
        <v>44147</v>
      </c>
      <c r="F768" s="3">
        <v>168.95</v>
      </c>
    </row>
    <row r="769" spans="1:6" x14ac:dyDescent="0.45">
      <c r="A769" t="s">
        <v>11</v>
      </c>
      <c r="B769" t="s">
        <v>9</v>
      </c>
      <c r="C769" t="s">
        <v>30</v>
      </c>
      <c r="D769" t="s">
        <v>10</v>
      </c>
      <c r="E769" s="1">
        <v>44147</v>
      </c>
      <c r="F769" s="3">
        <v>681.9</v>
      </c>
    </row>
    <row r="770" spans="1:6" x14ac:dyDescent="0.45">
      <c r="A770" t="s">
        <v>5</v>
      </c>
      <c r="B770" t="s">
        <v>6</v>
      </c>
      <c r="C770" t="s">
        <v>32</v>
      </c>
      <c r="D770" t="s">
        <v>24</v>
      </c>
      <c r="E770" s="1">
        <v>44147</v>
      </c>
      <c r="F770" s="3">
        <v>1363.8</v>
      </c>
    </row>
    <row r="771" spans="1:6" x14ac:dyDescent="0.45">
      <c r="A771" t="s">
        <v>11</v>
      </c>
      <c r="B771" t="s">
        <v>17</v>
      </c>
      <c r="C771" t="s">
        <v>30</v>
      </c>
      <c r="D771" t="s">
        <v>21</v>
      </c>
      <c r="E771" s="1">
        <v>44147</v>
      </c>
      <c r="F771" s="3">
        <v>799.95</v>
      </c>
    </row>
    <row r="772" spans="1:6" x14ac:dyDescent="0.45">
      <c r="A772" t="s">
        <v>8</v>
      </c>
      <c r="B772" t="s">
        <v>17</v>
      </c>
      <c r="C772" t="s">
        <v>31</v>
      </c>
      <c r="D772" t="s">
        <v>13</v>
      </c>
      <c r="E772" s="1">
        <v>44148</v>
      </c>
      <c r="F772" s="3">
        <v>5599.6500000000005</v>
      </c>
    </row>
    <row r="773" spans="1:6" x14ac:dyDescent="0.45">
      <c r="A773" t="s">
        <v>8</v>
      </c>
      <c r="B773" t="s">
        <v>9</v>
      </c>
      <c r="C773" t="s">
        <v>31</v>
      </c>
      <c r="D773" t="s">
        <v>13</v>
      </c>
      <c r="E773" s="1">
        <v>44149</v>
      </c>
      <c r="F773" s="3">
        <v>3409.5</v>
      </c>
    </row>
    <row r="774" spans="1:6" x14ac:dyDescent="0.45">
      <c r="A774" t="s">
        <v>5</v>
      </c>
      <c r="B774" t="s">
        <v>14</v>
      </c>
      <c r="C774" t="s">
        <v>32</v>
      </c>
      <c r="D774" t="s">
        <v>21</v>
      </c>
      <c r="E774" s="1">
        <v>44149</v>
      </c>
      <c r="F774" s="3">
        <v>1013.6999999999999</v>
      </c>
    </row>
    <row r="775" spans="1:6" x14ac:dyDescent="0.45">
      <c r="A775" t="s">
        <v>25</v>
      </c>
      <c r="B775" t="s">
        <v>17</v>
      </c>
      <c r="C775" t="s">
        <v>32</v>
      </c>
      <c r="D775" t="s">
        <v>10</v>
      </c>
      <c r="E775" s="1">
        <v>44150</v>
      </c>
      <c r="F775" s="3">
        <v>2399.8500000000004</v>
      </c>
    </row>
    <row r="776" spans="1:6" x14ac:dyDescent="0.45">
      <c r="A776" t="s">
        <v>11</v>
      </c>
      <c r="B776" t="s">
        <v>9</v>
      </c>
      <c r="C776" t="s">
        <v>30</v>
      </c>
      <c r="D776" t="s">
        <v>13</v>
      </c>
      <c r="E776" s="1">
        <v>44150</v>
      </c>
      <c r="F776" s="3">
        <v>681.9</v>
      </c>
    </row>
    <row r="777" spans="1:6" x14ac:dyDescent="0.45">
      <c r="A777" t="s">
        <v>8</v>
      </c>
      <c r="B777" t="s">
        <v>6</v>
      </c>
      <c r="C777" t="s">
        <v>31</v>
      </c>
      <c r="D777" t="s">
        <v>21</v>
      </c>
      <c r="E777" s="1">
        <v>44150</v>
      </c>
      <c r="F777" s="3">
        <v>4432.3499999999995</v>
      </c>
    </row>
    <row r="778" spans="1:6" x14ac:dyDescent="0.45">
      <c r="A778" t="s">
        <v>18</v>
      </c>
      <c r="B778" t="s">
        <v>14</v>
      </c>
      <c r="C778" t="s">
        <v>32</v>
      </c>
      <c r="D778" t="s">
        <v>7</v>
      </c>
      <c r="E778" s="1">
        <v>44151</v>
      </c>
      <c r="F778" s="3">
        <v>2534.25</v>
      </c>
    </row>
    <row r="779" spans="1:6" x14ac:dyDescent="0.45">
      <c r="A779" t="s">
        <v>11</v>
      </c>
      <c r="B779" t="s">
        <v>9</v>
      </c>
      <c r="C779" t="s">
        <v>30</v>
      </c>
      <c r="D779" t="s">
        <v>24</v>
      </c>
      <c r="E779" s="1">
        <v>44153</v>
      </c>
      <c r="F779" s="3">
        <v>1022.8499999999999</v>
      </c>
    </row>
    <row r="780" spans="1:6" x14ac:dyDescent="0.45">
      <c r="A780" t="s">
        <v>8</v>
      </c>
      <c r="B780" t="s">
        <v>14</v>
      </c>
      <c r="C780" t="s">
        <v>31</v>
      </c>
      <c r="D780" t="s">
        <v>24</v>
      </c>
      <c r="E780" s="1">
        <v>44153</v>
      </c>
      <c r="F780" s="3">
        <v>1351.6</v>
      </c>
    </row>
    <row r="781" spans="1:6" x14ac:dyDescent="0.45">
      <c r="A781" t="s">
        <v>25</v>
      </c>
      <c r="B781" t="s">
        <v>12</v>
      </c>
      <c r="C781" t="s">
        <v>32</v>
      </c>
      <c r="D781" t="s">
        <v>13</v>
      </c>
      <c r="E781" s="1">
        <v>44154</v>
      </c>
      <c r="F781" s="3">
        <v>639.91999999999996</v>
      </c>
    </row>
    <row r="782" spans="1:6" x14ac:dyDescent="0.45">
      <c r="A782" t="s">
        <v>19</v>
      </c>
      <c r="B782" t="s">
        <v>12</v>
      </c>
      <c r="C782" t="s">
        <v>29</v>
      </c>
      <c r="D782" t="s">
        <v>7</v>
      </c>
      <c r="E782" s="1">
        <v>44154</v>
      </c>
      <c r="F782" s="3">
        <v>1039.8699999999999</v>
      </c>
    </row>
    <row r="783" spans="1:6" x14ac:dyDescent="0.45">
      <c r="A783" t="s">
        <v>11</v>
      </c>
      <c r="B783" t="s">
        <v>6</v>
      </c>
      <c r="C783" t="s">
        <v>30</v>
      </c>
      <c r="D783" t="s">
        <v>10</v>
      </c>
      <c r="E783" s="1">
        <v>44154</v>
      </c>
      <c r="F783" s="3">
        <v>3068.5499999999997</v>
      </c>
    </row>
    <row r="784" spans="1:6" x14ac:dyDescent="0.45">
      <c r="A784" t="s">
        <v>18</v>
      </c>
      <c r="B784" t="s">
        <v>14</v>
      </c>
      <c r="C784" t="s">
        <v>32</v>
      </c>
      <c r="D784" t="s">
        <v>10</v>
      </c>
      <c r="E784" s="1">
        <v>44154</v>
      </c>
      <c r="F784" s="3">
        <v>844.75</v>
      </c>
    </row>
    <row r="785" spans="1:6" x14ac:dyDescent="0.45">
      <c r="A785" t="s">
        <v>16</v>
      </c>
      <c r="B785" t="s">
        <v>6</v>
      </c>
      <c r="C785" t="s">
        <v>29</v>
      </c>
      <c r="D785" t="s">
        <v>10</v>
      </c>
      <c r="E785" s="1">
        <v>44154</v>
      </c>
      <c r="F785" s="3">
        <v>3409.5</v>
      </c>
    </row>
    <row r="786" spans="1:6" x14ac:dyDescent="0.45">
      <c r="A786" t="s">
        <v>23</v>
      </c>
      <c r="B786" t="s">
        <v>12</v>
      </c>
      <c r="C786" t="s">
        <v>29</v>
      </c>
      <c r="D786" t="s">
        <v>24</v>
      </c>
      <c r="E786" s="1">
        <v>44154</v>
      </c>
      <c r="F786" s="3">
        <v>799.9</v>
      </c>
    </row>
    <row r="787" spans="1:6" x14ac:dyDescent="0.45">
      <c r="A787" t="s">
        <v>16</v>
      </c>
      <c r="B787" t="s">
        <v>9</v>
      </c>
      <c r="C787" t="s">
        <v>29</v>
      </c>
      <c r="D787" t="s">
        <v>24</v>
      </c>
      <c r="E787" s="1">
        <v>44154</v>
      </c>
      <c r="F787" s="3">
        <v>1022.8499999999999</v>
      </c>
    </row>
    <row r="788" spans="1:6" x14ac:dyDescent="0.45">
      <c r="A788" t="s">
        <v>19</v>
      </c>
      <c r="B788" t="s">
        <v>17</v>
      </c>
      <c r="C788" t="s">
        <v>29</v>
      </c>
      <c r="D788" t="s">
        <v>7</v>
      </c>
      <c r="E788" s="1">
        <v>44154</v>
      </c>
      <c r="F788" s="3">
        <v>15199.050000000001</v>
      </c>
    </row>
    <row r="789" spans="1:6" x14ac:dyDescent="0.45">
      <c r="A789" t="s">
        <v>16</v>
      </c>
      <c r="B789" t="s">
        <v>12</v>
      </c>
      <c r="C789" t="s">
        <v>29</v>
      </c>
      <c r="D789" t="s">
        <v>21</v>
      </c>
      <c r="E789" s="1">
        <v>44154</v>
      </c>
      <c r="F789" s="3">
        <v>959.87999999999988</v>
      </c>
    </row>
    <row r="790" spans="1:6" x14ac:dyDescent="0.45">
      <c r="A790" t="s">
        <v>8</v>
      </c>
      <c r="B790" t="s">
        <v>17</v>
      </c>
      <c r="C790" t="s">
        <v>31</v>
      </c>
      <c r="D790" t="s">
        <v>24</v>
      </c>
      <c r="E790" s="1">
        <v>44154</v>
      </c>
      <c r="F790" s="3">
        <v>2399.8500000000004</v>
      </c>
    </row>
    <row r="791" spans="1:6" x14ac:dyDescent="0.45">
      <c r="A791" t="s">
        <v>5</v>
      </c>
      <c r="B791" t="s">
        <v>14</v>
      </c>
      <c r="C791" t="s">
        <v>32</v>
      </c>
      <c r="D791" t="s">
        <v>13</v>
      </c>
      <c r="E791" s="1">
        <v>44155</v>
      </c>
      <c r="F791" s="3">
        <v>675.8</v>
      </c>
    </row>
    <row r="792" spans="1:6" x14ac:dyDescent="0.45">
      <c r="A792" t="s">
        <v>11</v>
      </c>
      <c r="B792" t="s">
        <v>17</v>
      </c>
      <c r="C792" t="s">
        <v>30</v>
      </c>
      <c r="D792" t="s">
        <v>21</v>
      </c>
      <c r="E792" s="1">
        <v>44155</v>
      </c>
      <c r="F792" s="3">
        <v>3999.75</v>
      </c>
    </row>
    <row r="793" spans="1:6" x14ac:dyDescent="0.45">
      <c r="A793" t="s">
        <v>20</v>
      </c>
      <c r="B793" t="s">
        <v>9</v>
      </c>
      <c r="C793" t="s">
        <v>32</v>
      </c>
      <c r="D793" t="s">
        <v>10</v>
      </c>
      <c r="E793" s="1">
        <v>44155</v>
      </c>
      <c r="F793" s="3">
        <v>2386.65</v>
      </c>
    </row>
    <row r="794" spans="1:6" x14ac:dyDescent="0.45">
      <c r="A794" t="s">
        <v>19</v>
      </c>
      <c r="B794" t="s">
        <v>14</v>
      </c>
      <c r="C794" t="s">
        <v>29</v>
      </c>
      <c r="D794" t="s">
        <v>10</v>
      </c>
      <c r="E794" s="1">
        <v>44155</v>
      </c>
      <c r="F794" s="3">
        <v>506.84999999999997</v>
      </c>
    </row>
    <row r="795" spans="1:6" x14ac:dyDescent="0.45">
      <c r="A795" t="s">
        <v>15</v>
      </c>
      <c r="B795" t="s">
        <v>14</v>
      </c>
      <c r="C795" t="s">
        <v>31</v>
      </c>
      <c r="D795" t="s">
        <v>24</v>
      </c>
      <c r="E795" s="1">
        <v>44156</v>
      </c>
      <c r="F795" s="3">
        <v>506.84999999999997</v>
      </c>
    </row>
    <row r="796" spans="1:6" x14ac:dyDescent="0.45">
      <c r="A796" t="s">
        <v>5</v>
      </c>
      <c r="B796" t="s">
        <v>6</v>
      </c>
      <c r="C796" t="s">
        <v>32</v>
      </c>
      <c r="D796" t="s">
        <v>7</v>
      </c>
      <c r="E796" s="1">
        <v>44157</v>
      </c>
      <c r="F796" s="3">
        <v>2727.6</v>
      </c>
    </row>
    <row r="797" spans="1:6" x14ac:dyDescent="0.45">
      <c r="A797" t="s">
        <v>20</v>
      </c>
      <c r="B797" t="s">
        <v>12</v>
      </c>
      <c r="C797" t="s">
        <v>32</v>
      </c>
      <c r="D797" t="s">
        <v>10</v>
      </c>
      <c r="E797" s="1">
        <v>44157</v>
      </c>
      <c r="F797" s="3">
        <v>879.89</v>
      </c>
    </row>
    <row r="798" spans="1:6" x14ac:dyDescent="0.45">
      <c r="A798" t="s">
        <v>22</v>
      </c>
      <c r="B798" t="s">
        <v>6</v>
      </c>
      <c r="C798" t="s">
        <v>29</v>
      </c>
      <c r="D798" t="s">
        <v>24</v>
      </c>
      <c r="E798" s="1">
        <v>44157</v>
      </c>
      <c r="F798" s="3">
        <v>5114.25</v>
      </c>
    </row>
    <row r="799" spans="1:6" x14ac:dyDescent="0.45">
      <c r="A799" t="s">
        <v>20</v>
      </c>
      <c r="B799" t="s">
        <v>14</v>
      </c>
      <c r="C799" t="s">
        <v>32</v>
      </c>
      <c r="D799" t="s">
        <v>24</v>
      </c>
      <c r="E799" s="1">
        <v>44157</v>
      </c>
      <c r="F799" s="3">
        <v>506.84999999999997</v>
      </c>
    </row>
    <row r="800" spans="1:6" x14ac:dyDescent="0.45">
      <c r="A800" t="s">
        <v>5</v>
      </c>
      <c r="B800" t="s">
        <v>9</v>
      </c>
      <c r="C800" t="s">
        <v>32</v>
      </c>
      <c r="D800" t="s">
        <v>24</v>
      </c>
      <c r="E800" s="1">
        <v>44157</v>
      </c>
      <c r="F800" s="3">
        <v>2727.6</v>
      </c>
    </row>
    <row r="801" spans="1:6" x14ac:dyDescent="0.45">
      <c r="A801" t="s">
        <v>25</v>
      </c>
      <c r="B801" t="s">
        <v>6</v>
      </c>
      <c r="C801" t="s">
        <v>30</v>
      </c>
      <c r="D801" t="s">
        <v>10</v>
      </c>
      <c r="E801" s="1">
        <v>44157</v>
      </c>
      <c r="F801" s="3">
        <v>2386.65</v>
      </c>
    </row>
    <row r="802" spans="1:6" x14ac:dyDescent="0.45">
      <c r="A802" t="s">
        <v>23</v>
      </c>
      <c r="B802" t="s">
        <v>9</v>
      </c>
      <c r="C802" t="s">
        <v>29</v>
      </c>
      <c r="D802" t="s">
        <v>7</v>
      </c>
      <c r="E802" s="1">
        <v>44158</v>
      </c>
      <c r="F802" s="3">
        <v>4773.3</v>
      </c>
    </row>
    <row r="803" spans="1:6" x14ac:dyDescent="0.45">
      <c r="A803" t="s">
        <v>20</v>
      </c>
      <c r="B803" t="s">
        <v>9</v>
      </c>
      <c r="C803" t="s">
        <v>32</v>
      </c>
      <c r="D803" t="s">
        <v>7</v>
      </c>
      <c r="E803" s="1">
        <v>44158</v>
      </c>
      <c r="F803" s="3">
        <v>6478.05</v>
      </c>
    </row>
    <row r="804" spans="1:6" x14ac:dyDescent="0.45">
      <c r="A804" t="s">
        <v>20</v>
      </c>
      <c r="B804" t="s">
        <v>12</v>
      </c>
      <c r="C804" t="s">
        <v>32</v>
      </c>
      <c r="D804" t="s">
        <v>21</v>
      </c>
      <c r="E804" s="1">
        <v>44158</v>
      </c>
      <c r="F804" s="3">
        <v>319.95999999999998</v>
      </c>
    </row>
    <row r="805" spans="1:6" x14ac:dyDescent="0.45">
      <c r="A805" t="s">
        <v>23</v>
      </c>
      <c r="B805" t="s">
        <v>9</v>
      </c>
      <c r="C805" t="s">
        <v>29</v>
      </c>
      <c r="D805" t="s">
        <v>24</v>
      </c>
      <c r="E805" s="1">
        <v>44158</v>
      </c>
      <c r="F805" s="3">
        <v>5114.25</v>
      </c>
    </row>
    <row r="806" spans="1:6" x14ac:dyDescent="0.45">
      <c r="A806" t="s">
        <v>5</v>
      </c>
      <c r="B806" t="s">
        <v>17</v>
      </c>
      <c r="C806" t="s">
        <v>32</v>
      </c>
      <c r="D806" t="s">
        <v>13</v>
      </c>
      <c r="E806" s="1">
        <v>44159</v>
      </c>
      <c r="F806" s="3">
        <v>7999.5</v>
      </c>
    </row>
    <row r="807" spans="1:6" x14ac:dyDescent="0.45">
      <c r="A807" t="s">
        <v>23</v>
      </c>
      <c r="B807" t="s">
        <v>17</v>
      </c>
      <c r="C807" t="s">
        <v>29</v>
      </c>
      <c r="D807" t="s">
        <v>10</v>
      </c>
      <c r="E807" s="1">
        <v>44159</v>
      </c>
      <c r="F807" s="3">
        <v>799.95</v>
      </c>
    </row>
    <row r="808" spans="1:6" x14ac:dyDescent="0.45">
      <c r="A808" t="s">
        <v>16</v>
      </c>
      <c r="B808" t="s">
        <v>9</v>
      </c>
      <c r="C808" t="s">
        <v>29</v>
      </c>
      <c r="D808" t="s">
        <v>10</v>
      </c>
      <c r="E808" s="1">
        <v>44159</v>
      </c>
      <c r="F808" s="3">
        <v>2727.6</v>
      </c>
    </row>
    <row r="809" spans="1:6" x14ac:dyDescent="0.45">
      <c r="A809" t="s">
        <v>20</v>
      </c>
      <c r="B809" t="s">
        <v>17</v>
      </c>
      <c r="C809" t="s">
        <v>32</v>
      </c>
      <c r="D809" t="s">
        <v>7</v>
      </c>
      <c r="E809" s="1">
        <v>44160</v>
      </c>
      <c r="F809" s="3">
        <v>11199.300000000001</v>
      </c>
    </row>
    <row r="810" spans="1:6" x14ac:dyDescent="0.45">
      <c r="A810" t="s">
        <v>5</v>
      </c>
      <c r="B810" t="s">
        <v>9</v>
      </c>
      <c r="C810" t="s">
        <v>32</v>
      </c>
      <c r="D810" t="s">
        <v>7</v>
      </c>
      <c r="E810" s="1">
        <v>44160</v>
      </c>
      <c r="F810" s="3">
        <v>2727.6</v>
      </c>
    </row>
    <row r="811" spans="1:6" x14ac:dyDescent="0.45">
      <c r="A811" t="s">
        <v>26</v>
      </c>
      <c r="B811" t="s">
        <v>17</v>
      </c>
      <c r="C811" t="s">
        <v>30</v>
      </c>
      <c r="D811" t="s">
        <v>24</v>
      </c>
      <c r="E811" s="1">
        <v>44160</v>
      </c>
      <c r="F811" s="3">
        <v>1599.9</v>
      </c>
    </row>
    <row r="812" spans="1:6" x14ac:dyDescent="0.45">
      <c r="A812" t="s">
        <v>5</v>
      </c>
      <c r="B812" t="s">
        <v>17</v>
      </c>
      <c r="C812" t="s">
        <v>32</v>
      </c>
      <c r="D812" t="s">
        <v>21</v>
      </c>
      <c r="E812" s="1">
        <v>44160</v>
      </c>
      <c r="F812" s="3">
        <v>7999.5</v>
      </c>
    </row>
    <row r="813" spans="1:6" x14ac:dyDescent="0.45">
      <c r="A813" t="s">
        <v>15</v>
      </c>
      <c r="B813" t="s">
        <v>6</v>
      </c>
      <c r="C813" t="s">
        <v>31</v>
      </c>
      <c r="D813" t="s">
        <v>24</v>
      </c>
      <c r="E813" s="1">
        <v>44160</v>
      </c>
      <c r="F813" s="3">
        <v>3409.5</v>
      </c>
    </row>
    <row r="814" spans="1:6" x14ac:dyDescent="0.45">
      <c r="A814" t="s">
        <v>5</v>
      </c>
      <c r="B814" t="s">
        <v>9</v>
      </c>
      <c r="C814" t="s">
        <v>32</v>
      </c>
      <c r="D814" t="s">
        <v>24</v>
      </c>
      <c r="E814" s="1">
        <v>44160</v>
      </c>
      <c r="F814" s="3">
        <v>3409.5</v>
      </c>
    </row>
    <row r="815" spans="1:6" x14ac:dyDescent="0.45">
      <c r="A815" t="s">
        <v>11</v>
      </c>
      <c r="B815" t="s">
        <v>14</v>
      </c>
      <c r="C815" t="s">
        <v>30</v>
      </c>
      <c r="D815" t="s">
        <v>13</v>
      </c>
      <c r="E815" s="1">
        <v>44161</v>
      </c>
      <c r="F815" s="3">
        <v>337.9</v>
      </c>
    </row>
    <row r="816" spans="1:6" x14ac:dyDescent="0.45">
      <c r="A816" t="s">
        <v>5</v>
      </c>
      <c r="B816" t="s">
        <v>17</v>
      </c>
      <c r="C816" t="s">
        <v>32</v>
      </c>
      <c r="D816" t="s">
        <v>21</v>
      </c>
      <c r="E816" s="1">
        <v>44161</v>
      </c>
      <c r="F816" s="3">
        <v>11199.300000000001</v>
      </c>
    </row>
    <row r="817" spans="1:6" x14ac:dyDescent="0.45">
      <c r="A817" t="s">
        <v>5</v>
      </c>
      <c r="B817" t="s">
        <v>17</v>
      </c>
      <c r="C817" t="s">
        <v>32</v>
      </c>
      <c r="D817" t="s">
        <v>21</v>
      </c>
      <c r="E817" s="1">
        <v>44161</v>
      </c>
      <c r="F817" s="3">
        <v>4799.7000000000007</v>
      </c>
    </row>
    <row r="818" spans="1:6" x14ac:dyDescent="0.45">
      <c r="A818" t="s">
        <v>5</v>
      </c>
      <c r="B818" t="s">
        <v>14</v>
      </c>
      <c r="C818" t="s">
        <v>32</v>
      </c>
      <c r="D818" t="s">
        <v>21</v>
      </c>
      <c r="E818" s="1">
        <v>44161</v>
      </c>
      <c r="F818" s="3">
        <v>168.95</v>
      </c>
    </row>
    <row r="819" spans="1:6" x14ac:dyDescent="0.45">
      <c r="A819" t="s">
        <v>8</v>
      </c>
      <c r="B819" t="s">
        <v>17</v>
      </c>
      <c r="C819" t="s">
        <v>31</v>
      </c>
      <c r="D819" t="s">
        <v>7</v>
      </c>
      <c r="E819" s="1">
        <v>44162</v>
      </c>
      <c r="F819" s="3">
        <v>14399.1</v>
      </c>
    </row>
    <row r="820" spans="1:6" x14ac:dyDescent="0.45">
      <c r="A820" t="s">
        <v>11</v>
      </c>
      <c r="B820" t="s">
        <v>6</v>
      </c>
      <c r="C820" t="s">
        <v>30</v>
      </c>
      <c r="D820" t="s">
        <v>7</v>
      </c>
      <c r="E820" s="1">
        <v>44163</v>
      </c>
      <c r="F820" s="3">
        <v>4773.3</v>
      </c>
    </row>
    <row r="821" spans="1:6" x14ac:dyDescent="0.45">
      <c r="A821" t="s">
        <v>5</v>
      </c>
      <c r="B821" t="s">
        <v>9</v>
      </c>
      <c r="C821" t="s">
        <v>32</v>
      </c>
      <c r="D821" t="s">
        <v>21</v>
      </c>
      <c r="E821" s="1">
        <v>44163</v>
      </c>
      <c r="F821" s="3">
        <v>3068.5499999999997</v>
      </c>
    </row>
    <row r="822" spans="1:6" x14ac:dyDescent="0.45">
      <c r="A822" t="s">
        <v>26</v>
      </c>
      <c r="B822" t="s">
        <v>12</v>
      </c>
      <c r="C822" t="s">
        <v>30</v>
      </c>
      <c r="D822" t="s">
        <v>24</v>
      </c>
      <c r="E822" s="1">
        <v>44163</v>
      </c>
      <c r="F822" s="3">
        <v>399.95</v>
      </c>
    </row>
    <row r="823" spans="1:6" x14ac:dyDescent="0.45">
      <c r="A823" t="s">
        <v>5</v>
      </c>
      <c r="B823" t="s">
        <v>14</v>
      </c>
      <c r="C823" t="s">
        <v>32</v>
      </c>
      <c r="D823" t="s">
        <v>13</v>
      </c>
      <c r="E823" s="1">
        <v>44164</v>
      </c>
      <c r="F823" s="3">
        <v>506.84999999999997</v>
      </c>
    </row>
    <row r="824" spans="1:6" x14ac:dyDescent="0.45">
      <c r="A824" t="s">
        <v>25</v>
      </c>
      <c r="B824" t="s">
        <v>6</v>
      </c>
      <c r="C824" t="s">
        <v>30</v>
      </c>
      <c r="D824" t="s">
        <v>7</v>
      </c>
      <c r="E824" s="1">
        <v>44164</v>
      </c>
      <c r="F824" s="3">
        <v>5796.15</v>
      </c>
    </row>
    <row r="825" spans="1:6" x14ac:dyDescent="0.45">
      <c r="A825" t="s">
        <v>5</v>
      </c>
      <c r="B825" t="s">
        <v>9</v>
      </c>
      <c r="C825" t="s">
        <v>32</v>
      </c>
      <c r="D825" t="s">
        <v>10</v>
      </c>
      <c r="E825" s="1">
        <v>44164</v>
      </c>
      <c r="F825" s="3">
        <v>4091.3999999999996</v>
      </c>
    </row>
    <row r="826" spans="1:6" x14ac:dyDescent="0.45">
      <c r="A826" t="s">
        <v>26</v>
      </c>
      <c r="B826" t="s">
        <v>14</v>
      </c>
      <c r="C826" t="s">
        <v>30</v>
      </c>
      <c r="D826" t="s">
        <v>21</v>
      </c>
      <c r="E826" s="1">
        <v>44165</v>
      </c>
      <c r="F826" s="3">
        <v>2365.2999999999997</v>
      </c>
    </row>
    <row r="827" spans="1:6" x14ac:dyDescent="0.45">
      <c r="A827" t="s">
        <v>5</v>
      </c>
      <c r="B827" t="s">
        <v>9</v>
      </c>
      <c r="C827" t="s">
        <v>32</v>
      </c>
      <c r="D827" t="s">
        <v>24</v>
      </c>
      <c r="E827" s="1">
        <v>44166</v>
      </c>
      <c r="F827" s="3">
        <v>681.9</v>
      </c>
    </row>
    <row r="828" spans="1:6" x14ac:dyDescent="0.45">
      <c r="A828" t="s">
        <v>18</v>
      </c>
      <c r="B828" t="s">
        <v>9</v>
      </c>
      <c r="C828" t="s">
        <v>32</v>
      </c>
      <c r="D828" t="s">
        <v>10</v>
      </c>
      <c r="E828" s="1">
        <v>44167</v>
      </c>
      <c r="F828" s="3">
        <v>4773.3</v>
      </c>
    </row>
    <row r="829" spans="1:6" x14ac:dyDescent="0.45">
      <c r="A829" t="s">
        <v>19</v>
      </c>
      <c r="B829" t="s">
        <v>9</v>
      </c>
      <c r="C829" t="s">
        <v>29</v>
      </c>
      <c r="D829" t="s">
        <v>13</v>
      </c>
      <c r="E829" s="1">
        <v>44167</v>
      </c>
      <c r="F829" s="3">
        <v>3068.5499999999997</v>
      </c>
    </row>
    <row r="830" spans="1:6" x14ac:dyDescent="0.45">
      <c r="A830" t="s">
        <v>16</v>
      </c>
      <c r="B830" t="s">
        <v>17</v>
      </c>
      <c r="C830" t="s">
        <v>29</v>
      </c>
      <c r="D830" t="s">
        <v>21</v>
      </c>
      <c r="E830" s="1">
        <v>44167</v>
      </c>
      <c r="F830" s="3">
        <v>11999.25</v>
      </c>
    </row>
    <row r="831" spans="1:6" x14ac:dyDescent="0.45">
      <c r="A831" t="s">
        <v>26</v>
      </c>
      <c r="B831" t="s">
        <v>14</v>
      </c>
      <c r="C831" t="s">
        <v>30</v>
      </c>
      <c r="D831" t="s">
        <v>13</v>
      </c>
      <c r="E831" s="1">
        <v>44168</v>
      </c>
      <c r="F831" s="3">
        <v>1520.55</v>
      </c>
    </row>
    <row r="832" spans="1:6" x14ac:dyDescent="0.45">
      <c r="A832" t="s">
        <v>11</v>
      </c>
      <c r="B832" t="s">
        <v>9</v>
      </c>
      <c r="C832" t="s">
        <v>30</v>
      </c>
      <c r="D832" t="s">
        <v>7</v>
      </c>
      <c r="E832" s="1">
        <v>44168</v>
      </c>
      <c r="F832" s="3">
        <v>4432.3499999999995</v>
      </c>
    </row>
    <row r="833" spans="1:6" x14ac:dyDescent="0.45">
      <c r="A833" t="s">
        <v>19</v>
      </c>
      <c r="B833" t="s">
        <v>17</v>
      </c>
      <c r="C833" t="s">
        <v>29</v>
      </c>
      <c r="D833" t="s">
        <v>7</v>
      </c>
      <c r="E833" s="1">
        <v>44169</v>
      </c>
      <c r="F833" s="3">
        <v>9599.4000000000015</v>
      </c>
    </row>
    <row r="834" spans="1:6" x14ac:dyDescent="0.45">
      <c r="A834" t="s">
        <v>18</v>
      </c>
      <c r="B834" t="s">
        <v>9</v>
      </c>
      <c r="C834" t="s">
        <v>32</v>
      </c>
      <c r="D834" t="s">
        <v>10</v>
      </c>
      <c r="E834" s="1">
        <v>44169</v>
      </c>
      <c r="F834" s="3">
        <v>5114.25</v>
      </c>
    </row>
    <row r="835" spans="1:6" x14ac:dyDescent="0.45">
      <c r="A835" t="s">
        <v>5</v>
      </c>
      <c r="B835" t="s">
        <v>6</v>
      </c>
      <c r="C835" t="s">
        <v>32</v>
      </c>
      <c r="D835" t="s">
        <v>13</v>
      </c>
      <c r="E835" s="1">
        <v>44169</v>
      </c>
      <c r="F835" s="3">
        <v>3068.5499999999997</v>
      </c>
    </row>
    <row r="836" spans="1:6" x14ac:dyDescent="0.45">
      <c r="A836" t="s">
        <v>15</v>
      </c>
      <c r="B836" t="s">
        <v>9</v>
      </c>
      <c r="C836" t="s">
        <v>31</v>
      </c>
      <c r="D836" t="s">
        <v>21</v>
      </c>
      <c r="E836" s="1">
        <v>44169</v>
      </c>
      <c r="F836" s="3">
        <v>4432.3499999999995</v>
      </c>
    </row>
    <row r="837" spans="1:6" x14ac:dyDescent="0.45">
      <c r="A837" t="s">
        <v>16</v>
      </c>
      <c r="B837" t="s">
        <v>12</v>
      </c>
      <c r="C837" t="s">
        <v>29</v>
      </c>
      <c r="D837" t="s">
        <v>24</v>
      </c>
      <c r="E837" s="1">
        <v>44169</v>
      </c>
      <c r="F837" s="3">
        <v>399.95</v>
      </c>
    </row>
    <row r="838" spans="1:6" x14ac:dyDescent="0.45">
      <c r="A838" t="s">
        <v>20</v>
      </c>
      <c r="B838" t="s">
        <v>9</v>
      </c>
      <c r="C838" t="s">
        <v>32</v>
      </c>
      <c r="D838" t="s">
        <v>24</v>
      </c>
      <c r="E838" s="1">
        <v>44170</v>
      </c>
      <c r="F838" s="3">
        <v>4432.3499999999995</v>
      </c>
    </row>
    <row r="839" spans="1:6" x14ac:dyDescent="0.45">
      <c r="A839" t="s">
        <v>15</v>
      </c>
      <c r="B839" t="s">
        <v>9</v>
      </c>
      <c r="C839" t="s">
        <v>31</v>
      </c>
      <c r="D839" t="s">
        <v>7</v>
      </c>
      <c r="E839" s="1">
        <v>44170</v>
      </c>
      <c r="F839" s="3">
        <v>4432.3499999999995</v>
      </c>
    </row>
    <row r="840" spans="1:6" x14ac:dyDescent="0.45">
      <c r="A840" t="s">
        <v>22</v>
      </c>
      <c r="B840" t="s">
        <v>12</v>
      </c>
      <c r="C840" t="s">
        <v>29</v>
      </c>
      <c r="D840" t="s">
        <v>13</v>
      </c>
      <c r="E840" s="1">
        <v>44171</v>
      </c>
      <c r="F840" s="3">
        <v>239.96999999999997</v>
      </c>
    </row>
    <row r="841" spans="1:6" x14ac:dyDescent="0.45">
      <c r="A841" t="s">
        <v>19</v>
      </c>
      <c r="B841" t="s">
        <v>9</v>
      </c>
      <c r="C841" t="s">
        <v>29</v>
      </c>
      <c r="D841" t="s">
        <v>13</v>
      </c>
      <c r="E841" s="1">
        <v>44171</v>
      </c>
      <c r="F841" s="3">
        <v>4091.3999999999996</v>
      </c>
    </row>
    <row r="842" spans="1:6" x14ac:dyDescent="0.45">
      <c r="A842" t="s">
        <v>8</v>
      </c>
      <c r="B842" t="s">
        <v>14</v>
      </c>
      <c r="C842" t="s">
        <v>31</v>
      </c>
      <c r="D842" t="s">
        <v>10</v>
      </c>
      <c r="E842" s="1">
        <v>44171</v>
      </c>
      <c r="F842" s="3">
        <v>2534.25</v>
      </c>
    </row>
    <row r="843" spans="1:6" x14ac:dyDescent="0.45">
      <c r="A843" t="s">
        <v>18</v>
      </c>
      <c r="B843" t="s">
        <v>12</v>
      </c>
      <c r="C843" t="s">
        <v>32</v>
      </c>
      <c r="D843" t="s">
        <v>7</v>
      </c>
      <c r="E843" s="1">
        <v>44174</v>
      </c>
      <c r="F843" s="3">
        <v>1039.8699999999999</v>
      </c>
    </row>
    <row r="844" spans="1:6" x14ac:dyDescent="0.45">
      <c r="A844" t="s">
        <v>25</v>
      </c>
      <c r="B844" t="s">
        <v>9</v>
      </c>
      <c r="C844" t="s">
        <v>32</v>
      </c>
      <c r="D844" t="s">
        <v>13</v>
      </c>
      <c r="E844" s="1">
        <v>44174</v>
      </c>
      <c r="F844" s="3">
        <v>2386.65</v>
      </c>
    </row>
    <row r="845" spans="1:6" x14ac:dyDescent="0.45">
      <c r="A845" t="s">
        <v>18</v>
      </c>
      <c r="B845" t="s">
        <v>14</v>
      </c>
      <c r="C845" t="s">
        <v>32</v>
      </c>
      <c r="D845" t="s">
        <v>10</v>
      </c>
      <c r="E845" s="1">
        <v>44175</v>
      </c>
      <c r="F845" s="3">
        <v>2534.25</v>
      </c>
    </row>
    <row r="846" spans="1:6" x14ac:dyDescent="0.45">
      <c r="A846" t="s">
        <v>22</v>
      </c>
      <c r="B846" t="s">
        <v>12</v>
      </c>
      <c r="C846" t="s">
        <v>29</v>
      </c>
      <c r="D846" t="s">
        <v>24</v>
      </c>
      <c r="E846" s="1">
        <v>44175</v>
      </c>
      <c r="F846" s="3">
        <v>799.9</v>
      </c>
    </row>
    <row r="847" spans="1:6" x14ac:dyDescent="0.45">
      <c r="A847" t="s">
        <v>19</v>
      </c>
      <c r="B847" t="s">
        <v>17</v>
      </c>
      <c r="C847" t="s">
        <v>29</v>
      </c>
      <c r="D847" t="s">
        <v>13</v>
      </c>
      <c r="E847" s="1">
        <v>44175</v>
      </c>
      <c r="F847" s="3">
        <v>3999.75</v>
      </c>
    </row>
    <row r="848" spans="1:6" x14ac:dyDescent="0.45">
      <c r="A848" t="s">
        <v>11</v>
      </c>
      <c r="B848" t="s">
        <v>14</v>
      </c>
      <c r="C848" t="s">
        <v>30</v>
      </c>
      <c r="D848" t="s">
        <v>24</v>
      </c>
      <c r="E848" s="1">
        <v>44176</v>
      </c>
      <c r="F848" s="3">
        <v>844.75</v>
      </c>
    </row>
    <row r="849" spans="1:6" x14ac:dyDescent="0.45">
      <c r="A849" t="s">
        <v>16</v>
      </c>
      <c r="B849" t="s">
        <v>12</v>
      </c>
      <c r="C849" t="s">
        <v>29</v>
      </c>
      <c r="D849" t="s">
        <v>24</v>
      </c>
      <c r="E849" s="1">
        <v>44176</v>
      </c>
      <c r="F849" s="3">
        <v>559.92999999999995</v>
      </c>
    </row>
    <row r="850" spans="1:6" x14ac:dyDescent="0.45">
      <c r="A850" t="s">
        <v>15</v>
      </c>
      <c r="B850" t="s">
        <v>17</v>
      </c>
      <c r="C850" t="s">
        <v>31</v>
      </c>
      <c r="D850" t="s">
        <v>13</v>
      </c>
      <c r="E850" s="1">
        <v>44176</v>
      </c>
      <c r="F850" s="3">
        <v>11199.300000000001</v>
      </c>
    </row>
    <row r="851" spans="1:6" x14ac:dyDescent="0.45">
      <c r="A851" t="s">
        <v>8</v>
      </c>
      <c r="B851" t="s">
        <v>12</v>
      </c>
      <c r="C851" t="s">
        <v>31</v>
      </c>
      <c r="D851" t="s">
        <v>13</v>
      </c>
      <c r="E851" s="1">
        <v>44176</v>
      </c>
      <c r="F851" s="3">
        <v>1199.8499999999999</v>
      </c>
    </row>
    <row r="852" spans="1:6" x14ac:dyDescent="0.45">
      <c r="A852" t="s">
        <v>19</v>
      </c>
      <c r="B852" t="s">
        <v>9</v>
      </c>
      <c r="C852" t="s">
        <v>29</v>
      </c>
      <c r="D852" t="s">
        <v>21</v>
      </c>
      <c r="E852" s="1">
        <v>44176</v>
      </c>
      <c r="F852" s="3">
        <v>3750.45</v>
      </c>
    </row>
    <row r="853" spans="1:6" x14ac:dyDescent="0.45">
      <c r="A853" t="s">
        <v>15</v>
      </c>
      <c r="B853" t="s">
        <v>14</v>
      </c>
      <c r="C853" t="s">
        <v>31</v>
      </c>
      <c r="D853" t="s">
        <v>13</v>
      </c>
      <c r="E853" s="1">
        <v>44177</v>
      </c>
      <c r="F853" s="3">
        <v>2027.3999999999999</v>
      </c>
    </row>
    <row r="854" spans="1:6" x14ac:dyDescent="0.45">
      <c r="A854" t="s">
        <v>16</v>
      </c>
      <c r="B854" t="s">
        <v>12</v>
      </c>
      <c r="C854" t="s">
        <v>29</v>
      </c>
      <c r="D854" t="s">
        <v>13</v>
      </c>
      <c r="E854" s="1">
        <v>44178</v>
      </c>
      <c r="F854" s="3">
        <v>479.93999999999994</v>
      </c>
    </row>
    <row r="855" spans="1:6" x14ac:dyDescent="0.45">
      <c r="A855" t="s">
        <v>26</v>
      </c>
      <c r="B855" t="s">
        <v>14</v>
      </c>
      <c r="C855" t="s">
        <v>30</v>
      </c>
      <c r="D855" t="s">
        <v>21</v>
      </c>
      <c r="E855" s="1">
        <v>44178</v>
      </c>
      <c r="F855" s="3">
        <v>168.95</v>
      </c>
    </row>
    <row r="856" spans="1:6" x14ac:dyDescent="0.45">
      <c r="A856" t="s">
        <v>23</v>
      </c>
      <c r="B856" t="s">
        <v>6</v>
      </c>
      <c r="C856" t="s">
        <v>29</v>
      </c>
      <c r="D856" t="s">
        <v>10</v>
      </c>
      <c r="E856" s="1">
        <v>44178</v>
      </c>
      <c r="F856" s="3">
        <v>340.95</v>
      </c>
    </row>
    <row r="857" spans="1:6" x14ac:dyDescent="0.45">
      <c r="A857" t="s">
        <v>23</v>
      </c>
      <c r="B857" t="s">
        <v>6</v>
      </c>
      <c r="C857" t="s">
        <v>29</v>
      </c>
      <c r="D857" t="s">
        <v>7</v>
      </c>
      <c r="E857" s="1">
        <v>44178</v>
      </c>
      <c r="F857" s="3">
        <v>3750.45</v>
      </c>
    </row>
    <row r="858" spans="1:6" x14ac:dyDescent="0.45">
      <c r="A858" t="s">
        <v>8</v>
      </c>
      <c r="B858" t="s">
        <v>14</v>
      </c>
      <c r="C858" t="s">
        <v>31</v>
      </c>
      <c r="D858" t="s">
        <v>7</v>
      </c>
      <c r="E858" s="1">
        <v>44178</v>
      </c>
      <c r="F858" s="3">
        <v>1013.6999999999999</v>
      </c>
    </row>
    <row r="859" spans="1:6" x14ac:dyDescent="0.45">
      <c r="A859" t="s">
        <v>23</v>
      </c>
      <c r="B859" t="s">
        <v>6</v>
      </c>
      <c r="C859" t="s">
        <v>29</v>
      </c>
      <c r="D859" t="s">
        <v>10</v>
      </c>
      <c r="E859" s="1">
        <v>44178</v>
      </c>
      <c r="F859" s="3">
        <v>4773.3</v>
      </c>
    </row>
    <row r="860" spans="1:6" x14ac:dyDescent="0.45">
      <c r="A860" t="s">
        <v>5</v>
      </c>
      <c r="B860" t="s">
        <v>17</v>
      </c>
      <c r="C860" t="s">
        <v>32</v>
      </c>
      <c r="D860" t="s">
        <v>13</v>
      </c>
      <c r="E860" s="1">
        <v>44179</v>
      </c>
      <c r="F860" s="3">
        <v>5599.6500000000005</v>
      </c>
    </row>
    <row r="861" spans="1:6" x14ac:dyDescent="0.45">
      <c r="A861" t="s">
        <v>5</v>
      </c>
      <c r="B861" t="s">
        <v>9</v>
      </c>
      <c r="C861" t="s">
        <v>32</v>
      </c>
      <c r="D861" t="s">
        <v>7</v>
      </c>
      <c r="E861" s="1">
        <v>44180</v>
      </c>
      <c r="F861" s="3">
        <v>4432.3499999999995</v>
      </c>
    </row>
    <row r="862" spans="1:6" x14ac:dyDescent="0.45">
      <c r="A862" t="s">
        <v>8</v>
      </c>
      <c r="B862" t="s">
        <v>14</v>
      </c>
      <c r="C862" t="s">
        <v>31</v>
      </c>
      <c r="D862" t="s">
        <v>21</v>
      </c>
      <c r="E862" s="1">
        <v>44180</v>
      </c>
      <c r="F862" s="3">
        <v>1013.6999999999999</v>
      </c>
    </row>
    <row r="863" spans="1:6" x14ac:dyDescent="0.45">
      <c r="A863" t="s">
        <v>15</v>
      </c>
      <c r="B863" t="s">
        <v>17</v>
      </c>
      <c r="C863" t="s">
        <v>31</v>
      </c>
      <c r="D863" t="s">
        <v>7</v>
      </c>
      <c r="E863" s="1">
        <v>44181</v>
      </c>
      <c r="F863" s="3">
        <v>10399.35</v>
      </c>
    </row>
    <row r="864" spans="1:6" x14ac:dyDescent="0.45">
      <c r="A864" t="s">
        <v>25</v>
      </c>
      <c r="B864" t="s">
        <v>14</v>
      </c>
      <c r="C864" t="s">
        <v>32</v>
      </c>
      <c r="D864" t="s">
        <v>13</v>
      </c>
      <c r="E864" s="1">
        <v>44181</v>
      </c>
      <c r="F864" s="3">
        <v>675.8</v>
      </c>
    </row>
    <row r="865" spans="1:6" x14ac:dyDescent="0.45">
      <c r="A865" t="s">
        <v>16</v>
      </c>
      <c r="B865" t="s">
        <v>9</v>
      </c>
      <c r="C865" t="s">
        <v>29</v>
      </c>
      <c r="D865" t="s">
        <v>7</v>
      </c>
      <c r="E865" s="1">
        <v>44181</v>
      </c>
      <c r="F865" s="3">
        <v>3750.45</v>
      </c>
    </row>
    <row r="866" spans="1:6" x14ac:dyDescent="0.45">
      <c r="A866" t="s">
        <v>5</v>
      </c>
      <c r="B866" t="s">
        <v>14</v>
      </c>
      <c r="C866" t="s">
        <v>32</v>
      </c>
      <c r="D866" t="s">
        <v>21</v>
      </c>
      <c r="E866" s="1">
        <v>44181</v>
      </c>
      <c r="F866" s="3">
        <v>1182.6499999999999</v>
      </c>
    </row>
    <row r="867" spans="1:6" x14ac:dyDescent="0.45">
      <c r="A867" t="s">
        <v>23</v>
      </c>
      <c r="B867" t="s">
        <v>9</v>
      </c>
      <c r="C867" t="s">
        <v>29</v>
      </c>
      <c r="D867" t="s">
        <v>10</v>
      </c>
      <c r="E867" s="1">
        <v>44181</v>
      </c>
      <c r="F867" s="3">
        <v>1704.75</v>
      </c>
    </row>
    <row r="868" spans="1:6" x14ac:dyDescent="0.45">
      <c r="A868" t="s">
        <v>19</v>
      </c>
      <c r="B868" t="s">
        <v>14</v>
      </c>
      <c r="C868" t="s">
        <v>29</v>
      </c>
      <c r="D868" t="s">
        <v>24</v>
      </c>
      <c r="E868" s="1">
        <v>44181</v>
      </c>
      <c r="F868" s="3">
        <v>844.75</v>
      </c>
    </row>
    <row r="869" spans="1:6" x14ac:dyDescent="0.45">
      <c r="A869" t="s">
        <v>20</v>
      </c>
      <c r="B869" t="s">
        <v>6</v>
      </c>
      <c r="C869" t="s">
        <v>32</v>
      </c>
      <c r="D869" t="s">
        <v>13</v>
      </c>
      <c r="E869" s="1">
        <v>44182</v>
      </c>
      <c r="F869" s="3">
        <v>3068.5499999999997</v>
      </c>
    </row>
    <row r="870" spans="1:6" x14ac:dyDescent="0.45">
      <c r="A870" t="s">
        <v>23</v>
      </c>
      <c r="B870" t="s">
        <v>9</v>
      </c>
      <c r="C870" t="s">
        <v>29</v>
      </c>
      <c r="D870" t="s">
        <v>7</v>
      </c>
      <c r="E870" s="1">
        <v>44182</v>
      </c>
      <c r="F870" s="3">
        <v>4432.3499999999995</v>
      </c>
    </row>
    <row r="871" spans="1:6" x14ac:dyDescent="0.45">
      <c r="A871" t="s">
        <v>18</v>
      </c>
      <c r="B871" t="s">
        <v>6</v>
      </c>
      <c r="C871" t="s">
        <v>32</v>
      </c>
      <c r="D871" t="s">
        <v>21</v>
      </c>
      <c r="E871" s="1">
        <v>44182</v>
      </c>
      <c r="F871" s="3">
        <v>681.9</v>
      </c>
    </row>
    <row r="872" spans="1:6" x14ac:dyDescent="0.45">
      <c r="A872" t="s">
        <v>19</v>
      </c>
      <c r="B872" t="s">
        <v>6</v>
      </c>
      <c r="C872" t="s">
        <v>29</v>
      </c>
      <c r="D872" t="s">
        <v>7</v>
      </c>
      <c r="E872" s="1">
        <v>44182</v>
      </c>
      <c r="F872" s="3">
        <v>2727.6</v>
      </c>
    </row>
    <row r="873" spans="1:6" x14ac:dyDescent="0.45">
      <c r="A873" t="s">
        <v>26</v>
      </c>
      <c r="B873" t="s">
        <v>12</v>
      </c>
      <c r="C873" t="s">
        <v>30</v>
      </c>
      <c r="D873" t="s">
        <v>21</v>
      </c>
      <c r="E873" s="1">
        <v>44183</v>
      </c>
      <c r="F873" s="3">
        <v>319.95999999999998</v>
      </c>
    </row>
    <row r="874" spans="1:6" x14ac:dyDescent="0.45">
      <c r="A874" t="s">
        <v>26</v>
      </c>
      <c r="B874" t="s">
        <v>17</v>
      </c>
      <c r="C874" t="s">
        <v>30</v>
      </c>
      <c r="D874" t="s">
        <v>24</v>
      </c>
      <c r="E874" s="1">
        <v>44184</v>
      </c>
      <c r="F874" s="3">
        <v>11199.300000000001</v>
      </c>
    </row>
    <row r="875" spans="1:6" x14ac:dyDescent="0.45">
      <c r="A875" t="s">
        <v>20</v>
      </c>
      <c r="B875" t="s">
        <v>9</v>
      </c>
      <c r="C875" t="s">
        <v>32</v>
      </c>
      <c r="D875" t="s">
        <v>21</v>
      </c>
      <c r="E875" s="1">
        <v>44185</v>
      </c>
      <c r="F875" s="3">
        <v>3750.45</v>
      </c>
    </row>
    <row r="876" spans="1:6" x14ac:dyDescent="0.45">
      <c r="A876" t="s">
        <v>5</v>
      </c>
      <c r="B876" t="s">
        <v>14</v>
      </c>
      <c r="C876" t="s">
        <v>32</v>
      </c>
      <c r="D876" t="s">
        <v>21</v>
      </c>
      <c r="E876" s="1">
        <v>44185</v>
      </c>
      <c r="F876" s="3">
        <v>1858.4499999999998</v>
      </c>
    </row>
    <row r="877" spans="1:6" x14ac:dyDescent="0.45">
      <c r="A877" t="s">
        <v>11</v>
      </c>
      <c r="B877" t="s">
        <v>17</v>
      </c>
      <c r="C877" t="s">
        <v>30</v>
      </c>
      <c r="D877" t="s">
        <v>7</v>
      </c>
      <c r="E877" s="1">
        <v>44186</v>
      </c>
      <c r="F877" s="3">
        <v>8799.4500000000007</v>
      </c>
    </row>
    <row r="878" spans="1:6" x14ac:dyDescent="0.45">
      <c r="A878" t="s">
        <v>20</v>
      </c>
      <c r="B878" t="s">
        <v>12</v>
      </c>
      <c r="C878" t="s">
        <v>32</v>
      </c>
      <c r="D878" t="s">
        <v>7</v>
      </c>
      <c r="E878" s="1">
        <v>44186</v>
      </c>
      <c r="F878" s="3">
        <v>1519.81</v>
      </c>
    </row>
    <row r="879" spans="1:6" x14ac:dyDescent="0.45">
      <c r="A879" t="s">
        <v>11</v>
      </c>
      <c r="B879" t="s">
        <v>6</v>
      </c>
      <c r="C879" t="s">
        <v>30</v>
      </c>
      <c r="D879" t="s">
        <v>7</v>
      </c>
      <c r="E879" s="1">
        <v>44187</v>
      </c>
      <c r="F879" s="3">
        <v>4091.3999999999996</v>
      </c>
    </row>
    <row r="880" spans="1:6" x14ac:dyDescent="0.45">
      <c r="A880" t="s">
        <v>8</v>
      </c>
      <c r="B880" t="s">
        <v>9</v>
      </c>
      <c r="C880" t="s">
        <v>31</v>
      </c>
      <c r="D880" t="s">
        <v>10</v>
      </c>
      <c r="E880" s="1">
        <v>44187</v>
      </c>
      <c r="F880" s="3">
        <v>4091.3999999999996</v>
      </c>
    </row>
    <row r="881" spans="1:6" x14ac:dyDescent="0.45">
      <c r="A881" t="s">
        <v>5</v>
      </c>
      <c r="B881" t="s">
        <v>17</v>
      </c>
      <c r="C881" t="s">
        <v>32</v>
      </c>
      <c r="D881" t="s">
        <v>10</v>
      </c>
      <c r="E881" s="1">
        <v>44187</v>
      </c>
      <c r="F881" s="3">
        <v>2399.8500000000004</v>
      </c>
    </row>
    <row r="882" spans="1:6" x14ac:dyDescent="0.45">
      <c r="A882" t="s">
        <v>5</v>
      </c>
      <c r="B882" t="s">
        <v>9</v>
      </c>
      <c r="C882" t="s">
        <v>32</v>
      </c>
      <c r="D882" t="s">
        <v>10</v>
      </c>
      <c r="E882" s="1">
        <v>44187</v>
      </c>
      <c r="F882" s="3">
        <v>5114.25</v>
      </c>
    </row>
    <row r="883" spans="1:6" x14ac:dyDescent="0.45">
      <c r="A883" t="s">
        <v>18</v>
      </c>
      <c r="B883" t="s">
        <v>17</v>
      </c>
      <c r="C883" t="s">
        <v>32</v>
      </c>
      <c r="D883" t="s">
        <v>10</v>
      </c>
      <c r="E883" s="1">
        <v>44188</v>
      </c>
      <c r="F883" s="3">
        <v>4799.7000000000007</v>
      </c>
    </row>
    <row r="884" spans="1:6" x14ac:dyDescent="0.45">
      <c r="A884" t="s">
        <v>16</v>
      </c>
      <c r="B884" t="s">
        <v>12</v>
      </c>
      <c r="C884" t="s">
        <v>29</v>
      </c>
      <c r="D884" t="s">
        <v>13</v>
      </c>
      <c r="E884" s="1">
        <v>44188</v>
      </c>
      <c r="F884" s="3">
        <v>559.92999999999995</v>
      </c>
    </row>
    <row r="885" spans="1:6" x14ac:dyDescent="0.45">
      <c r="A885" t="s">
        <v>25</v>
      </c>
      <c r="B885" t="s">
        <v>9</v>
      </c>
      <c r="C885" t="s">
        <v>32</v>
      </c>
      <c r="D885" t="s">
        <v>7</v>
      </c>
      <c r="E885" s="1">
        <v>44188</v>
      </c>
      <c r="F885" s="3">
        <v>6819</v>
      </c>
    </row>
    <row r="886" spans="1:6" x14ac:dyDescent="0.45">
      <c r="A886" t="s">
        <v>5</v>
      </c>
      <c r="B886" t="s">
        <v>17</v>
      </c>
      <c r="C886" t="s">
        <v>32</v>
      </c>
      <c r="D886" t="s">
        <v>7</v>
      </c>
      <c r="E886" s="1">
        <v>44188</v>
      </c>
      <c r="F886" s="3">
        <v>7199.55</v>
      </c>
    </row>
    <row r="887" spans="1:6" x14ac:dyDescent="0.45">
      <c r="A887" t="s">
        <v>25</v>
      </c>
      <c r="B887" t="s">
        <v>14</v>
      </c>
      <c r="C887" t="s">
        <v>32</v>
      </c>
      <c r="D887" t="s">
        <v>13</v>
      </c>
      <c r="E887" s="1">
        <v>44189</v>
      </c>
      <c r="F887" s="3">
        <v>1520.55</v>
      </c>
    </row>
    <row r="888" spans="1:6" x14ac:dyDescent="0.45">
      <c r="A888" t="s">
        <v>16</v>
      </c>
      <c r="B888" t="s">
        <v>14</v>
      </c>
      <c r="C888" t="s">
        <v>29</v>
      </c>
      <c r="D888" t="s">
        <v>7</v>
      </c>
      <c r="E888" s="1">
        <v>44189</v>
      </c>
      <c r="F888" s="3">
        <v>3210.0499999999997</v>
      </c>
    </row>
    <row r="889" spans="1:6" x14ac:dyDescent="0.45">
      <c r="A889" t="s">
        <v>25</v>
      </c>
      <c r="B889" t="s">
        <v>12</v>
      </c>
      <c r="C889" t="s">
        <v>32</v>
      </c>
      <c r="D889" t="s">
        <v>21</v>
      </c>
      <c r="E889" s="1">
        <v>44189</v>
      </c>
      <c r="F889" s="3">
        <v>239.96999999999997</v>
      </c>
    </row>
    <row r="890" spans="1:6" x14ac:dyDescent="0.45">
      <c r="A890" t="s">
        <v>23</v>
      </c>
      <c r="B890" t="s">
        <v>14</v>
      </c>
      <c r="C890" t="s">
        <v>29</v>
      </c>
      <c r="D890" t="s">
        <v>13</v>
      </c>
      <c r="E890" s="1">
        <v>44189</v>
      </c>
      <c r="F890" s="3">
        <v>506.84999999999997</v>
      </c>
    </row>
    <row r="891" spans="1:6" x14ac:dyDescent="0.45">
      <c r="A891" t="s">
        <v>15</v>
      </c>
      <c r="B891" t="s">
        <v>6</v>
      </c>
      <c r="C891" t="s">
        <v>31</v>
      </c>
      <c r="D891" t="s">
        <v>7</v>
      </c>
      <c r="E891" s="1">
        <v>44189</v>
      </c>
      <c r="F891" s="3">
        <v>6137.0999999999995</v>
      </c>
    </row>
    <row r="892" spans="1:6" x14ac:dyDescent="0.45">
      <c r="A892" t="s">
        <v>15</v>
      </c>
      <c r="B892" t="s">
        <v>9</v>
      </c>
      <c r="C892" t="s">
        <v>31</v>
      </c>
      <c r="D892" t="s">
        <v>21</v>
      </c>
      <c r="E892" s="1">
        <v>44189</v>
      </c>
      <c r="F892" s="3">
        <v>4091.3999999999996</v>
      </c>
    </row>
    <row r="893" spans="1:6" x14ac:dyDescent="0.45">
      <c r="A893" t="s">
        <v>16</v>
      </c>
      <c r="B893" t="s">
        <v>9</v>
      </c>
      <c r="C893" t="s">
        <v>29</v>
      </c>
      <c r="D893" t="s">
        <v>24</v>
      </c>
      <c r="E893" s="1">
        <v>44189</v>
      </c>
      <c r="F893" s="3">
        <v>5114.25</v>
      </c>
    </row>
    <row r="894" spans="1:6" x14ac:dyDescent="0.45">
      <c r="A894" t="s">
        <v>19</v>
      </c>
      <c r="B894" t="s">
        <v>17</v>
      </c>
      <c r="C894" t="s">
        <v>29</v>
      </c>
      <c r="D894" t="s">
        <v>7</v>
      </c>
      <c r="E894" s="1">
        <v>44190</v>
      </c>
      <c r="F894" s="3">
        <v>15999</v>
      </c>
    </row>
    <row r="895" spans="1:6" x14ac:dyDescent="0.45">
      <c r="A895" t="s">
        <v>25</v>
      </c>
      <c r="B895" t="s">
        <v>14</v>
      </c>
      <c r="C895" t="s">
        <v>32</v>
      </c>
      <c r="D895" t="s">
        <v>21</v>
      </c>
      <c r="E895" s="1">
        <v>44190</v>
      </c>
      <c r="F895" s="3">
        <v>2027.3999999999999</v>
      </c>
    </row>
    <row r="896" spans="1:6" x14ac:dyDescent="0.45">
      <c r="A896" t="s">
        <v>8</v>
      </c>
      <c r="B896" t="s">
        <v>12</v>
      </c>
      <c r="C896" t="s">
        <v>31</v>
      </c>
      <c r="D896" t="s">
        <v>21</v>
      </c>
      <c r="E896" s="1">
        <v>44190</v>
      </c>
      <c r="F896" s="3">
        <v>79.989999999999995</v>
      </c>
    </row>
    <row r="897" spans="1:9" x14ac:dyDescent="0.45">
      <c r="A897" t="s">
        <v>11</v>
      </c>
      <c r="B897" t="s">
        <v>12</v>
      </c>
      <c r="C897" t="s">
        <v>30</v>
      </c>
      <c r="D897" t="s">
        <v>13</v>
      </c>
      <c r="E897" s="1">
        <v>44190</v>
      </c>
      <c r="F897" s="3">
        <v>879.89</v>
      </c>
    </row>
    <row r="898" spans="1:9" x14ac:dyDescent="0.45">
      <c r="A898" t="s">
        <v>16</v>
      </c>
      <c r="B898" t="s">
        <v>9</v>
      </c>
      <c r="C898" t="s">
        <v>29</v>
      </c>
      <c r="D898" t="s">
        <v>13</v>
      </c>
      <c r="E898" s="1">
        <v>44192</v>
      </c>
      <c r="F898" s="3">
        <v>1022.8499999999999</v>
      </c>
    </row>
    <row r="899" spans="1:9" x14ac:dyDescent="0.45">
      <c r="A899" t="s">
        <v>11</v>
      </c>
      <c r="B899" t="s">
        <v>9</v>
      </c>
      <c r="C899" t="s">
        <v>30</v>
      </c>
      <c r="D899" t="s">
        <v>7</v>
      </c>
      <c r="E899" s="1">
        <v>44192</v>
      </c>
      <c r="F899" s="3">
        <v>5455.2</v>
      </c>
    </row>
    <row r="900" spans="1:9" x14ac:dyDescent="0.45">
      <c r="A900" t="s">
        <v>5</v>
      </c>
      <c r="B900" t="s">
        <v>6</v>
      </c>
      <c r="C900" t="s">
        <v>32</v>
      </c>
      <c r="D900" t="s">
        <v>21</v>
      </c>
      <c r="E900" s="1">
        <v>44192</v>
      </c>
      <c r="F900" s="3">
        <v>1022.8499999999999</v>
      </c>
    </row>
    <row r="901" spans="1:9" x14ac:dyDescent="0.45">
      <c r="A901" t="s">
        <v>5</v>
      </c>
      <c r="B901" t="s">
        <v>14</v>
      </c>
      <c r="C901" t="s">
        <v>32</v>
      </c>
      <c r="D901" t="s">
        <v>7</v>
      </c>
      <c r="E901" s="1">
        <v>44193</v>
      </c>
      <c r="F901" s="3">
        <v>3379</v>
      </c>
    </row>
    <row r="902" spans="1:9" x14ac:dyDescent="0.45">
      <c r="A902" t="s">
        <v>18</v>
      </c>
      <c r="B902" t="s">
        <v>9</v>
      </c>
      <c r="C902" t="s">
        <v>32</v>
      </c>
      <c r="D902" t="s">
        <v>21</v>
      </c>
      <c r="E902" s="1">
        <v>44193</v>
      </c>
      <c r="F902" s="3">
        <v>2727.6</v>
      </c>
    </row>
    <row r="903" spans="1:9" x14ac:dyDescent="0.45">
      <c r="A903" t="s">
        <v>8</v>
      </c>
      <c r="B903" t="s">
        <v>9</v>
      </c>
      <c r="C903" t="s">
        <v>31</v>
      </c>
      <c r="D903" t="s">
        <v>10</v>
      </c>
      <c r="E903" s="1">
        <v>44193</v>
      </c>
      <c r="F903" s="3">
        <v>3068.5499999999997</v>
      </c>
      <c r="I903" s="3"/>
    </row>
    <row r="904" spans="1:9" x14ac:dyDescent="0.45">
      <c r="A904" t="s">
        <v>15</v>
      </c>
      <c r="B904" t="s">
        <v>9</v>
      </c>
      <c r="C904" t="s">
        <v>31</v>
      </c>
      <c r="D904" t="s">
        <v>13</v>
      </c>
      <c r="E904" s="1">
        <v>44195</v>
      </c>
      <c r="F904" s="3">
        <v>4091.3999999999996</v>
      </c>
    </row>
    <row r="905" spans="1:9" x14ac:dyDescent="0.45">
      <c r="A905" t="s">
        <v>25</v>
      </c>
      <c r="B905" t="s">
        <v>14</v>
      </c>
      <c r="C905" t="s">
        <v>32</v>
      </c>
      <c r="D905" t="s">
        <v>7</v>
      </c>
      <c r="E905" s="1">
        <v>44195</v>
      </c>
      <c r="F905" s="3">
        <v>1520.55</v>
      </c>
    </row>
    <row r="906" spans="1:9" x14ac:dyDescent="0.45">
      <c r="A906" t="s">
        <v>5</v>
      </c>
      <c r="B906" t="s">
        <v>12</v>
      </c>
      <c r="C906" t="s">
        <v>32</v>
      </c>
      <c r="D906" t="s">
        <v>7</v>
      </c>
      <c r="E906" s="1">
        <v>44195</v>
      </c>
      <c r="F906" s="3">
        <v>1599.8</v>
      </c>
    </row>
    <row r="907" spans="1:9" x14ac:dyDescent="0.45">
      <c r="A907" t="s">
        <v>23</v>
      </c>
      <c r="B907" t="s">
        <v>9</v>
      </c>
      <c r="C907" t="s">
        <v>29</v>
      </c>
      <c r="D907" t="s">
        <v>21</v>
      </c>
      <c r="E907" s="1">
        <v>44195</v>
      </c>
      <c r="F907" s="3">
        <v>2045.6999999999998</v>
      </c>
    </row>
    <row r="908" spans="1:9" x14ac:dyDescent="0.45">
      <c r="A908" t="s">
        <v>22</v>
      </c>
      <c r="B908" t="s">
        <v>12</v>
      </c>
      <c r="C908" t="s">
        <v>29</v>
      </c>
      <c r="D908" t="s">
        <v>10</v>
      </c>
      <c r="E908" s="1">
        <v>44195</v>
      </c>
      <c r="F908" s="3">
        <v>79.989999999999995</v>
      </c>
    </row>
    <row r="909" spans="1:9" x14ac:dyDescent="0.45">
      <c r="A909" t="s">
        <v>23</v>
      </c>
      <c r="B909" t="s">
        <v>12</v>
      </c>
      <c r="C909" t="s">
        <v>29</v>
      </c>
      <c r="D909" t="s">
        <v>24</v>
      </c>
      <c r="E909" s="1">
        <v>44195</v>
      </c>
      <c r="F909" s="3">
        <v>399.95</v>
      </c>
    </row>
    <row r="910" spans="1:9" x14ac:dyDescent="0.45">
      <c r="A910" t="s">
        <v>19</v>
      </c>
      <c r="B910" t="s">
        <v>14</v>
      </c>
      <c r="C910" t="s">
        <v>29</v>
      </c>
      <c r="D910" t="s">
        <v>24</v>
      </c>
      <c r="E910" s="1">
        <v>44195</v>
      </c>
      <c r="F910" s="3">
        <v>506.84999999999997</v>
      </c>
    </row>
    <row r="911" spans="1:9" x14ac:dyDescent="0.45">
      <c r="A911" t="s">
        <v>8</v>
      </c>
      <c r="B911" t="s">
        <v>14</v>
      </c>
      <c r="C911" t="s">
        <v>31</v>
      </c>
      <c r="D911" t="s">
        <v>10</v>
      </c>
      <c r="E911" s="1">
        <v>44195</v>
      </c>
      <c r="F911" s="3">
        <v>1351.6</v>
      </c>
    </row>
    <row r="912" spans="1:9" x14ac:dyDescent="0.45">
      <c r="A912" t="s">
        <v>5</v>
      </c>
      <c r="B912" t="s">
        <v>6</v>
      </c>
      <c r="C912" t="s">
        <v>32</v>
      </c>
      <c r="D912" t="s">
        <v>10</v>
      </c>
      <c r="E912" s="1">
        <v>44195</v>
      </c>
      <c r="F912" s="3">
        <v>4773.3</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74CB-6A73-42CB-9166-FC8DFEEED279}">
  <sheetPr codeName="Sheet3"/>
  <dimension ref="A3:E23"/>
  <sheetViews>
    <sheetView zoomScale="150" zoomScaleNormal="150" workbookViewId="0">
      <selection activeCell="B13" sqref="B13"/>
    </sheetView>
  </sheetViews>
  <sheetFormatPr defaultRowHeight="14.25" x14ac:dyDescent="0.45"/>
  <cols>
    <col min="1" max="1" width="17.1328125" bestFit="1" customWidth="1"/>
    <col min="2" max="2" width="17.265625" bestFit="1" customWidth="1"/>
  </cols>
  <sheetData>
    <row r="3" spans="1:2" x14ac:dyDescent="0.45">
      <c r="A3" s="11" t="s">
        <v>47</v>
      </c>
      <c r="B3" t="s">
        <v>33</v>
      </c>
    </row>
    <row r="4" spans="1:2" x14ac:dyDescent="0.45">
      <c r="A4" s="12" t="s">
        <v>26</v>
      </c>
      <c r="B4">
        <v>158470.57999999999</v>
      </c>
    </row>
    <row r="5" spans="1:2" x14ac:dyDescent="0.45">
      <c r="A5" s="12" t="s">
        <v>20</v>
      </c>
      <c r="B5">
        <v>182345.68</v>
      </c>
    </row>
    <row r="6" spans="1:2" x14ac:dyDescent="0.45">
      <c r="A6" s="12" t="s">
        <v>15</v>
      </c>
      <c r="B6">
        <v>202008.51000000004</v>
      </c>
    </row>
    <row r="7" spans="1:2" x14ac:dyDescent="0.45">
      <c r="A7" s="12" t="s">
        <v>23</v>
      </c>
      <c r="B7">
        <v>204828.36000000007</v>
      </c>
    </row>
    <row r="8" spans="1:2" x14ac:dyDescent="0.45">
      <c r="A8" s="12" t="s">
        <v>19</v>
      </c>
      <c r="B8">
        <v>207709.4</v>
      </c>
    </row>
    <row r="9" spans="1:2" x14ac:dyDescent="0.45">
      <c r="A9" s="12" t="s">
        <v>25</v>
      </c>
      <c r="B9">
        <v>209208.75999999998</v>
      </c>
    </row>
    <row r="10" spans="1:2" x14ac:dyDescent="0.45">
      <c r="A10" s="12" t="s">
        <v>8</v>
      </c>
      <c r="B10">
        <v>222209.90000000002</v>
      </c>
    </row>
    <row r="11" spans="1:2" x14ac:dyDescent="0.45">
      <c r="A11" s="12" t="s">
        <v>22</v>
      </c>
      <c r="B11">
        <v>241683.0500000001</v>
      </c>
    </row>
    <row r="12" spans="1:2" x14ac:dyDescent="0.45">
      <c r="A12" s="12" t="s">
        <v>18</v>
      </c>
      <c r="B12">
        <v>244128.55000000002</v>
      </c>
    </row>
    <row r="13" spans="1:2" x14ac:dyDescent="0.45">
      <c r="A13" s="12" t="s">
        <v>11</v>
      </c>
      <c r="B13">
        <v>252220.82000000007</v>
      </c>
    </row>
    <row r="14" spans="1:2" x14ac:dyDescent="0.45">
      <c r="A14" s="12" t="s">
        <v>16</v>
      </c>
      <c r="B14">
        <v>344415.49999999994</v>
      </c>
    </row>
    <row r="15" spans="1:2" x14ac:dyDescent="0.45">
      <c r="A15" s="12" t="s">
        <v>5</v>
      </c>
      <c r="B15">
        <v>362436.55999999988</v>
      </c>
    </row>
    <row r="16" spans="1:2" x14ac:dyDescent="0.45">
      <c r="A16" s="12" t="s">
        <v>34</v>
      </c>
      <c r="B16">
        <v>2831665.6700000004</v>
      </c>
    </row>
    <row r="23" spans="5:5" x14ac:dyDescent="0.45">
      <c r="E23"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6DE79-F099-4D20-B965-FF81C34CB47B}">
  <sheetPr codeName="Sheet4"/>
  <dimension ref="A3:E23"/>
  <sheetViews>
    <sheetView zoomScale="150" zoomScaleNormal="150" workbookViewId="0">
      <selection activeCell="A13" sqref="A13"/>
    </sheetView>
  </sheetViews>
  <sheetFormatPr defaultRowHeight="14.25" x14ac:dyDescent="0.45"/>
  <cols>
    <col min="1" max="1" width="12.59765625" bestFit="1" customWidth="1"/>
    <col min="2" max="2" width="17.265625" bestFit="1" customWidth="1"/>
  </cols>
  <sheetData>
    <row r="3" spans="1:2" x14ac:dyDescent="0.45">
      <c r="A3" s="11" t="s">
        <v>47</v>
      </c>
      <c r="B3" t="s">
        <v>33</v>
      </c>
    </row>
    <row r="4" spans="1:2" x14ac:dyDescent="0.45">
      <c r="A4" s="13" t="s">
        <v>35</v>
      </c>
      <c r="B4">
        <v>263177.19</v>
      </c>
    </row>
    <row r="5" spans="1:2" x14ac:dyDescent="0.45">
      <c r="A5" s="13" t="s">
        <v>36</v>
      </c>
      <c r="B5">
        <v>247068.95999999996</v>
      </c>
    </row>
    <row r="6" spans="1:2" x14ac:dyDescent="0.45">
      <c r="A6" s="13" t="s">
        <v>37</v>
      </c>
      <c r="B6">
        <v>176984.48</v>
      </c>
    </row>
    <row r="7" spans="1:2" x14ac:dyDescent="0.45">
      <c r="A7" s="13" t="s">
        <v>38</v>
      </c>
      <c r="B7">
        <v>222086.93000000002</v>
      </c>
    </row>
    <row r="8" spans="1:2" x14ac:dyDescent="0.45">
      <c r="A8" s="13" t="s">
        <v>39</v>
      </c>
      <c r="B8">
        <v>258158.80999999994</v>
      </c>
    </row>
    <row r="9" spans="1:2" x14ac:dyDescent="0.45">
      <c r="A9" s="13" t="s">
        <v>40</v>
      </c>
      <c r="B9">
        <v>252742.58999999997</v>
      </c>
    </row>
    <row r="10" spans="1:2" x14ac:dyDescent="0.45">
      <c r="A10" s="13" t="s">
        <v>41</v>
      </c>
      <c r="B10">
        <v>213940.98999999993</v>
      </c>
    </row>
    <row r="11" spans="1:2" x14ac:dyDescent="0.45">
      <c r="A11" s="13" t="s">
        <v>42</v>
      </c>
      <c r="B11">
        <v>204312.49000000017</v>
      </c>
    </row>
    <row r="12" spans="1:2" x14ac:dyDescent="0.45">
      <c r="A12" s="13" t="s">
        <v>43</v>
      </c>
      <c r="B12">
        <v>234872.34000000008</v>
      </c>
    </row>
    <row r="13" spans="1:2" x14ac:dyDescent="0.45">
      <c r="A13" s="13" t="s">
        <v>44</v>
      </c>
      <c r="B13">
        <v>204505.66</v>
      </c>
    </row>
    <row r="14" spans="1:2" x14ac:dyDescent="0.45">
      <c r="A14" s="13" t="s">
        <v>45</v>
      </c>
      <c r="B14">
        <v>272237.13</v>
      </c>
    </row>
    <row r="15" spans="1:2" x14ac:dyDescent="0.45">
      <c r="A15" s="13" t="s">
        <v>46</v>
      </c>
      <c r="B15">
        <v>281578.09999999992</v>
      </c>
    </row>
    <row r="16" spans="1:2" x14ac:dyDescent="0.45">
      <c r="A16" s="13" t="s">
        <v>34</v>
      </c>
      <c r="B16">
        <v>2831665.6700000004</v>
      </c>
    </row>
    <row r="23" spans="5:5" x14ac:dyDescent="0.45">
      <c r="E23"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8E3D-6130-41BD-9F41-F5370C6B9CE1}">
  <sheetPr codeName="Sheet5"/>
  <dimension ref="A3:E23"/>
  <sheetViews>
    <sheetView zoomScale="150" zoomScaleNormal="150" workbookViewId="0">
      <selection activeCell="D16" sqref="D16"/>
    </sheetView>
  </sheetViews>
  <sheetFormatPr defaultRowHeight="14.25" x14ac:dyDescent="0.45"/>
  <cols>
    <col min="1" max="1" width="12.59765625" bestFit="1" customWidth="1"/>
    <col min="2" max="2" width="17.265625" bestFit="1" customWidth="1"/>
  </cols>
  <sheetData>
    <row r="3" spans="1:2" x14ac:dyDescent="0.45">
      <c r="A3" s="11" t="s">
        <v>47</v>
      </c>
      <c r="B3" t="s">
        <v>33</v>
      </c>
    </row>
    <row r="4" spans="1:2" x14ac:dyDescent="0.45">
      <c r="A4" s="12" t="s">
        <v>32</v>
      </c>
      <c r="B4">
        <v>951068.45000000054</v>
      </c>
    </row>
    <row r="5" spans="1:2" x14ac:dyDescent="0.45">
      <c r="A5" s="12" t="s">
        <v>29</v>
      </c>
      <c r="B5">
        <v>998636.30999999912</v>
      </c>
    </row>
    <row r="6" spans="1:2" x14ac:dyDescent="0.45">
      <c r="A6" s="12" t="s">
        <v>30</v>
      </c>
      <c r="B6">
        <v>457742.50000000017</v>
      </c>
    </row>
    <row r="7" spans="1:2" x14ac:dyDescent="0.45">
      <c r="A7" s="12" t="s">
        <v>31</v>
      </c>
      <c r="B7">
        <v>424218.40999999986</v>
      </c>
    </row>
    <row r="8" spans="1:2" x14ac:dyDescent="0.45">
      <c r="A8" s="12" t="s">
        <v>34</v>
      </c>
      <c r="B8">
        <v>2831665.6699999995</v>
      </c>
    </row>
    <row r="23" spans="5:5" x14ac:dyDescent="0.45">
      <c r="E23"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EF40-1473-4EE2-9F45-6E18EF873570}">
  <sheetPr codeName="Sheet6"/>
  <dimension ref="A3:E23"/>
  <sheetViews>
    <sheetView zoomScale="150" zoomScaleNormal="150" workbookViewId="0">
      <selection activeCell="C19" sqref="C19"/>
    </sheetView>
  </sheetViews>
  <sheetFormatPr defaultRowHeight="14.25" x14ac:dyDescent="0.45"/>
  <cols>
    <col min="1" max="1" width="16.3984375" bestFit="1" customWidth="1"/>
    <col min="2" max="2" width="17.265625" bestFit="1" customWidth="1"/>
  </cols>
  <sheetData>
    <row r="3" spans="1:2" x14ac:dyDescent="0.45">
      <c r="A3" s="11" t="s">
        <v>47</v>
      </c>
      <c r="B3" t="s">
        <v>33</v>
      </c>
    </row>
    <row r="4" spans="1:2" x14ac:dyDescent="0.45">
      <c r="A4" s="12" t="s">
        <v>14</v>
      </c>
      <c r="B4">
        <v>272347.40000000002</v>
      </c>
    </row>
    <row r="5" spans="1:2" x14ac:dyDescent="0.45">
      <c r="A5" s="12" t="s">
        <v>9</v>
      </c>
      <c r="B5">
        <v>618824.24999999953</v>
      </c>
    </row>
    <row r="6" spans="1:2" x14ac:dyDescent="0.45">
      <c r="A6" s="12" t="s">
        <v>17</v>
      </c>
      <c r="B6">
        <v>1343116.0500000003</v>
      </c>
    </row>
    <row r="7" spans="1:2" x14ac:dyDescent="0.45">
      <c r="A7" s="12" t="s">
        <v>12</v>
      </c>
      <c r="B7">
        <v>119025.12000000001</v>
      </c>
    </row>
    <row r="8" spans="1:2" x14ac:dyDescent="0.45">
      <c r="A8" s="12" t="s">
        <v>6</v>
      </c>
      <c r="B8">
        <v>478352.85000000009</v>
      </c>
    </row>
    <row r="9" spans="1:2" x14ac:dyDescent="0.45">
      <c r="A9" s="12" t="s">
        <v>34</v>
      </c>
      <c r="B9">
        <v>2831665.67</v>
      </c>
    </row>
    <row r="23" spans="5:5" x14ac:dyDescent="0.45">
      <c r="E23"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F568C-153C-46F0-89C2-1A2669A4C009}">
  <sheetPr codeName="Sheet7"/>
  <dimension ref="A3:E23"/>
  <sheetViews>
    <sheetView zoomScale="150" zoomScaleNormal="150" workbookViewId="0">
      <selection activeCell="R4" sqref="R4"/>
    </sheetView>
  </sheetViews>
  <sheetFormatPr defaultRowHeight="14.25" x14ac:dyDescent="0.45"/>
  <cols>
    <col min="1" max="1" width="12.73046875" bestFit="1" customWidth="1"/>
    <col min="2" max="2" width="17.265625" bestFit="1" customWidth="1"/>
    <col min="3" max="3" width="12.73046875" bestFit="1" customWidth="1"/>
  </cols>
  <sheetData>
    <row r="3" spans="1:5" x14ac:dyDescent="0.45">
      <c r="A3" s="11" t="s">
        <v>47</v>
      </c>
      <c r="B3" t="s">
        <v>33</v>
      </c>
    </row>
    <row r="4" spans="1:5" x14ac:dyDescent="0.45">
      <c r="A4" s="12" t="s">
        <v>7</v>
      </c>
      <c r="B4" s="3">
        <v>917507</v>
      </c>
      <c r="C4" s="3"/>
      <c r="D4" s="3"/>
      <c r="E4" s="3"/>
    </row>
    <row r="5" spans="1:5" x14ac:dyDescent="0.45">
      <c r="A5" s="12" t="s">
        <v>10</v>
      </c>
      <c r="B5" s="3">
        <v>501135.60999999987</v>
      </c>
      <c r="C5" s="3"/>
      <c r="D5" s="3"/>
      <c r="E5" s="3"/>
    </row>
    <row r="6" spans="1:5" x14ac:dyDescent="0.45">
      <c r="A6" s="12" t="s">
        <v>13</v>
      </c>
      <c r="B6" s="3">
        <v>478552.63999999984</v>
      </c>
      <c r="C6" s="3"/>
      <c r="D6" s="3"/>
      <c r="E6" s="3"/>
    </row>
    <row r="7" spans="1:5" x14ac:dyDescent="0.45">
      <c r="A7" s="12" t="s">
        <v>21</v>
      </c>
      <c r="B7" s="3">
        <v>470054.8899999999</v>
      </c>
      <c r="C7" s="3"/>
      <c r="D7" s="3"/>
      <c r="E7" s="3"/>
    </row>
    <row r="8" spans="1:5" x14ac:dyDescent="0.45">
      <c r="A8" s="12" t="s">
        <v>24</v>
      </c>
      <c r="B8" s="3">
        <v>464415.52999999991</v>
      </c>
      <c r="C8" s="3"/>
      <c r="D8" s="3"/>
      <c r="E8" s="3"/>
    </row>
    <row r="9" spans="1:5" x14ac:dyDescent="0.45">
      <c r="A9" s="12" t="s">
        <v>34</v>
      </c>
      <c r="B9" s="3">
        <v>2831665.6699999995</v>
      </c>
    </row>
    <row r="23" spans="5:5" x14ac:dyDescent="0.45">
      <c r="E23" s="14"/>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238D8-08E3-4B99-8C9C-4D6130A37B71}">
  <sheetPr codeName="Sheet11"/>
  <dimension ref="A3:N21"/>
  <sheetViews>
    <sheetView topLeftCell="A5" workbookViewId="0">
      <selection activeCell="G5" sqref="G5"/>
    </sheetView>
  </sheetViews>
  <sheetFormatPr defaultRowHeight="14.25" x14ac:dyDescent="0.45"/>
  <cols>
    <col min="1" max="1" width="16" bestFit="1" customWidth="1"/>
    <col min="2" max="2" width="18.59765625" bestFit="1" customWidth="1"/>
    <col min="5" max="5" width="12.59765625" bestFit="1" customWidth="1"/>
    <col min="6" max="6" width="17" bestFit="1" customWidth="1"/>
    <col min="11" max="11" width="16" bestFit="1" customWidth="1"/>
    <col min="12" max="12" width="17" bestFit="1" customWidth="1"/>
  </cols>
  <sheetData>
    <row r="3" spans="1:14" x14ac:dyDescent="0.45">
      <c r="A3" s="11" t="s">
        <v>47</v>
      </c>
      <c r="B3" t="s">
        <v>50</v>
      </c>
      <c r="E3" s="11" t="s">
        <v>47</v>
      </c>
      <c r="F3" t="s">
        <v>52</v>
      </c>
      <c r="H3">
        <f>COUNT(H4:H27)</f>
        <v>5</v>
      </c>
      <c r="K3" s="11" t="s">
        <v>47</v>
      </c>
      <c r="L3" t="s">
        <v>52</v>
      </c>
      <c r="N3">
        <f>COUNT(N4:N27)</f>
        <v>5</v>
      </c>
    </row>
    <row r="4" spans="1:14" x14ac:dyDescent="0.45">
      <c r="A4" s="12" t="s">
        <v>14</v>
      </c>
      <c r="B4">
        <v>181</v>
      </c>
      <c r="E4" s="12" t="s">
        <v>13</v>
      </c>
      <c r="F4">
        <v>181</v>
      </c>
      <c r="H4">
        <f>IF(E4="","",1)</f>
        <v>1</v>
      </c>
      <c r="K4" s="12" t="s">
        <v>14</v>
      </c>
      <c r="L4">
        <v>181</v>
      </c>
      <c r="N4">
        <f>IF(K4="","",1)</f>
        <v>1</v>
      </c>
    </row>
    <row r="5" spans="1:14" x14ac:dyDescent="0.45">
      <c r="A5" s="12" t="s">
        <v>9</v>
      </c>
      <c r="B5">
        <v>205</v>
      </c>
      <c r="E5" s="12" t="s">
        <v>7</v>
      </c>
      <c r="F5">
        <v>193</v>
      </c>
      <c r="H5">
        <f>IF(E5="","",1)</f>
        <v>1</v>
      </c>
      <c r="K5" s="12" t="s">
        <v>9</v>
      </c>
      <c r="L5">
        <v>205</v>
      </c>
      <c r="N5">
        <f t="shared" ref="N5:N21" si="0">IF(K5="","",1)</f>
        <v>1</v>
      </c>
    </row>
    <row r="6" spans="1:14" x14ac:dyDescent="0.45">
      <c r="A6" s="12" t="s">
        <v>17</v>
      </c>
      <c r="B6">
        <v>182</v>
      </c>
      <c r="E6" s="12" t="s">
        <v>21</v>
      </c>
      <c r="F6">
        <v>175</v>
      </c>
      <c r="H6">
        <f t="shared" ref="H6:H19" si="1">IF(E6="","",1)</f>
        <v>1</v>
      </c>
      <c r="K6" s="12" t="s">
        <v>17</v>
      </c>
      <c r="L6">
        <v>182</v>
      </c>
      <c r="N6">
        <f t="shared" si="0"/>
        <v>1</v>
      </c>
    </row>
    <row r="7" spans="1:14" x14ac:dyDescent="0.45">
      <c r="A7" s="12" t="s">
        <v>12</v>
      </c>
      <c r="B7">
        <v>176</v>
      </c>
      <c r="E7" s="12" t="s">
        <v>10</v>
      </c>
      <c r="F7">
        <v>188</v>
      </c>
      <c r="H7">
        <f t="shared" si="1"/>
        <v>1</v>
      </c>
      <c r="K7" s="12" t="s">
        <v>12</v>
      </c>
      <c r="L7">
        <v>176</v>
      </c>
      <c r="N7">
        <f t="shared" si="0"/>
        <v>1</v>
      </c>
    </row>
    <row r="8" spans="1:14" x14ac:dyDescent="0.45">
      <c r="A8" s="12" t="s">
        <v>6</v>
      </c>
      <c r="B8">
        <v>165</v>
      </c>
      <c r="E8" s="12" t="s">
        <v>24</v>
      </c>
      <c r="F8">
        <v>172</v>
      </c>
      <c r="H8">
        <f t="shared" si="1"/>
        <v>1</v>
      </c>
      <c r="K8" s="12" t="s">
        <v>6</v>
      </c>
      <c r="L8">
        <v>165</v>
      </c>
      <c r="N8">
        <f t="shared" si="0"/>
        <v>1</v>
      </c>
    </row>
    <row r="9" spans="1:14" x14ac:dyDescent="0.45">
      <c r="A9" s="12" t="s">
        <v>34</v>
      </c>
      <c r="B9">
        <v>909</v>
      </c>
      <c r="H9" t="str">
        <f t="shared" si="1"/>
        <v/>
      </c>
      <c r="N9" t="str">
        <f t="shared" si="0"/>
        <v/>
      </c>
    </row>
    <row r="10" spans="1:14" x14ac:dyDescent="0.45">
      <c r="H10" t="str">
        <f t="shared" si="1"/>
        <v/>
      </c>
      <c r="N10" t="str">
        <f t="shared" si="0"/>
        <v/>
      </c>
    </row>
    <row r="11" spans="1:14" x14ac:dyDescent="0.45">
      <c r="H11" t="str">
        <f t="shared" si="1"/>
        <v/>
      </c>
      <c r="N11" t="str">
        <f t="shared" si="0"/>
        <v/>
      </c>
    </row>
    <row r="12" spans="1:14" x14ac:dyDescent="0.45">
      <c r="H12" t="str">
        <f t="shared" si="1"/>
        <v/>
      </c>
      <c r="N12" t="str">
        <f t="shared" si="0"/>
        <v/>
      </c>
    </row>
    <row r="13" spans="1:14" x14ac:dyDescent="0.45">
      <c r="H13" t="str">
        <f t="shared" si="1"/>
        <v/>
      </c>
      <c r="N13" t="str">
        <f t="shared" si="0"/>
        <v/>
      </c>
    </row>
    <row r="14" spans="1:14" x14ac:dyDescent="0.45">
      <c r="H14" t="str">
        <f t="shared" si="1"/>
        <v/>
      </c>
      <c r="N14" t="str">
        <f t="shared" si="0"/>
        <v/>
      </c>
    </row>
    <row r="15" spans="1:14" x14ac:dyDescent="0.45">
      <c r="H15" t="str">
        <f t="shared" si="1"/>
        <v/>
      </c>
      <c r="N15" t="str">
        <f t="shared" si="0"/>
        <v/>
      </c>
    </row>
    <row r="16" spans="1:14" x14ac:dyDescent="0.45">
      <c r="H16" t="str">
        <f t="shared" si="1"/>
        <v/>
      </c>
      <c r="N16" t="str">
        <f t="shared" si="0"/>
        <v/>
      </c>
    </row>
    <row r="17" spans="8:14" x14ac:dyDescent="0.45">
      <c r="H17" t="str">
        <f t="shared" si="1"/>
        <v/>
      </c>
      <c r="N17" t="str">
        <f t="shared" si="0"/>
        <v/>
      </c>
    </row>
    <row r="18" spans="8:14" x14ac:dyDescent="0.45">
      <c r="H18" t="str">
        <f t="shared" si="1"/>
        <v/>
      </c>
      <c r="N18" t="str">
        <f t="shared" si="0"/>
        <v/>
      </c>
    </row>
    <row r="19" spans="8:14" x14ac:dyDescent="0.45">
      <c r="H19" t="str">
        <f t="shared" si="1"/>
        <v/>
      </c>
      <c r="N19" t="str">
        <f t="shared" si="0"/>
        <v/>
      </c>
    </row>
    <row r="20" spans="8:14" x14ac:dyDescent="0.45">
      <c r="N20" t="str">
        <f t="shared" si="0"/>
        <v/>
      </c>
    </row>
    <row r="21" spans="8:14" x14ac:dyDescent="0.45">
      <c r="N21" t="str">
        <f t="shared" si="0"/>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028ED-9101-4147-B054-C8B9B6539878}">
  <sheetPr codeName="Sheet9"/>
  <dimension ref="A1"/>
  <sheetViews>
    <sheetView workbookViewId="0"/>
  </sheetViews>
  <sheetFormatPr defaultRowHeight="14.25" x14ac:dyDescent="0.45"/>
  <cols>
    <col min="1" max="1" width="8.86328125" customWidth="1"/>
    <col min="23" max="23" width="11.1328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Cover</vt:lpstr>
      <vt:lpstr>Dashboard</vt:lpstr>
      <vt:lpstr>Raw Data</vt:lpstr>
      <vt:lpstr>Sales by Salesperson</vt:lpstr>
      <vt:lpstr>Sales by Month</vt:lpstr>
      <vt:lpstr>Sales by Region</vt:lpstr>
      <vt:lpstr>Sales by Product</vt:lpstr>
      <vt:lpstr>Sales by Customer</vt:lpstr>
      <vt:lpstr>Count</vt:lpstr>
      <vt:lpstr>'Raw 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Analyst</dc:title>
  <dc:creator>Daniel Dadzie Appiah</dc:creator>
  <cp:lastModifiedBy>daniel dadzie appiah</cp:lastModifiedBy>
  <cp:lastPrinted>2021-09-28T01:32:40Z</cp:lastPrinted>
  <dcterms:created xsi:type="dcterms:W3CDTF">2021-09-24T16:30:31Z</dcterms:created>
  <dcterms:modified xsi:type="dcterms:W3CDTF">2025-06-03T02:33:43Z</dcterms:modified>
</cp:coreProperties>
</file>