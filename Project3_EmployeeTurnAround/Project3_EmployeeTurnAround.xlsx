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Env't\Video_Tution\Udemy\Data_Analysis\Excel_Projects\Project3_EmployeeTurnAround\"/>
    </mc:Choice>
  </mc:AlternateContent>
  <xr:revisionPtr revIDLastSave="0" documentId="13_ncr:1_{BEE5A800-179E-4FB1-8C33-D43317A33FD7}" xr6:coauthVersionLast="47" xr6:coauthVersionMax="47" xr10:uidLastSave="{00000000-0000-0000-0000-000000000000}"/>
  <bookViews>
    <workbookView xWindow="-98" yWindow="-98" windowWidth="24196" windowHeight="14476" tabRatio="888" activeTab="2" xr2:uid="{00000000-000D-0000-FFFF-FFFF00000000}"/>
  </bookViews>
  <sheets>
    <sheet name="31.05.2025     " sheetId="342" r:id="rId1"/>
    <sheet name="03.05.2023 " sheetId="312" r:id="rId2"/>
    <sheet name="03.05.2023  (2)" sheetId="34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5" i="343" l="1"/>
  <c r="K95" i="343"/>
  <c r="J95" i="343"/>
  <c r="L94" i="343"/>
  <c r="K94" i="343"/>
  <c r="J94" i="343"/>
  <c r="L93" i="343"/>
  <c r="K93" i="343"/>
  <c r="J93" i="343"/>
  <c r="K92" i="343"/>
  <c r="J92" i="343"/>
  <c r="L92" i="343" s="1"/>
  <c r="K91" i="343"/>
  <c r="J91" i="343"/>
  <c r="L91" i="343" s="1"/>
  <c r="K90" i="343"/>
  <c r="J90" i="343"/>
  <c r="L90" i="343" s="1"/>
  <c r="J89" i="343"/>
  <c r="K89" i="343" s="1"/>
  <c r="L88" i="343"/>
  <c r="K88" i="343"/>
  <c r="J88" i="343"/>
  <c r="K87" i="343"/>
  <c r="J87" i="343"/>
  <c r="L87" i="343" s="1"/>
  <c r="K86" i="343"/>
  <c r="J86" i="343"/>
  <c r="L86" i="343" s="1"/>
  <c r="J85" i="343"/>
  <c r="L85" i="343" s="1"/>
  <c r="L84" i="343"/>
  <c r="K84" i="343"/>
  <c r="J84" i="343"/>
  <c r="L83" i="343"/>
  <c r="K83" i="343"/>
  <c r="J83" i="343"/>
  <c r="K82" i="343"/>
  <c r="J82" i="343"/>
  <c r="L82" i="343" s="1"/>
  <c r="L81" i="343"/>
  <c r="J81" i="343"/>
  <c r="K81" i="343" s="1"/>
  <c r="J80" i="343"/>
  <c r="L80" i="343" s="1"/>
  <c r="L79" i="343"/>
  <c r="K79" i="343"/>
  <c r="J79" i="343"/>
  <c r="L78" i="343"/>
  <c r="K78" i="343"/>
  <c r="J78" i="343"/>
  <c r="J77" i="343"/>
  <c r="L77" i="343" s="1"/>
  <c r="L76" i="343"/>
  <c r="K76" i="343"/>
  <c r="J76" i="343"/>
  <c r="K75" i="343"/>
  <c r="J75" i="343"/>
  <c r="L75" i="343" s="1"/>
  <c r="L74" i="343"/>
  <c r="K74" i="343"/>
  <c r="J74" i="343"/>
  <c r="L73" i="343"/>
  <c r="K73" i="343"/>
  <c r="J73" i="343"/>
  <c r="L72" i="343"/>
  <c r="K72" i="343"/>
  <c r="J72" i="343"/>
  <c r="L71" i="343"/>
  <c r="K71" i="343"/>
  <c r="J71" i="343"/>
  <c r="J70" i="343"/>
  <c r="L70" i="343" s="1"/>
  <c r="K69" i="343"/>
  <c r="J69" i="343"/>
  <c r="L69" i="343" s="1"/>
  <c r="K68" i="343"/>
  <c r="J68" i="343"/>
  <c r="L68" i="343" s="1"/>
  <c r="K67" i="343"/>
  <c r="J67" i="343"/>
  <c r="L67" i="343" s="1"/>
  <c r="L66" i="343"/>
  <c r="K66" i="343"/>
  <c r="J66" i="343"/>
  <c r="L65" i="343"/>
  <c r="K65" i="343"/>
  <c r="J65" i="343"/>
  <c r="AA64" i="343"/>
  <c r="Z64" i="343"/>
  <c r="Y64" i="343"/>
  <c r="X64" i="343"/>
  <c r="W64" i="343"/>
  <c r="V64" i="343"/>
  <c r="U64" i="343"/>
  <c r="T64" i="343"/>
  <c r="S64" i="343"/>
  <c r="R64" i="343"/>
  <c r="Q64" i="343"/>
  <c r="P64" i="343"/>
  <c r="O64" i="343"/>
  <c r="P65" i="343" s="1"/>
  <c r="L64" i="343"/>
  <c r="K64" i="343"/>
  <c r="J64" i="343"/>
  <c r="L63" i="343"/>
  <c r="J63" i="343"/>
  <c r="K63" i="343" s="1"/>
  <c r="L62" i="343"/>
  <c r="K62" i="343"/>
  <c r="J62" i="343"/>
  <c r="L61" i="343"/>
  <c r="K61" i="343"/>
  <c r="J61" i="343"/>
  <c r="K60" i="343"/>
  <c r="J60" i="343"/>
  <c r="L60" i="343" s="1"/>
  <c r="J59" i="343"/>
  <c r="K59" i="343" s="1"/>
  <c r="K58" i="343"/>
  <c r="J58" i="343"/>
  <c r="L58" i="343" s="1"/>
  <c r="K57" i="343"/>
  <c r="J57" i="343"/>
  <c r="L57" i="343" s="1"/>
  <c r="L56" i="343"/>
  <c r="K56" i="343"/>
  <c r="J56" i="343"/>
  <c r="J55" i="343"/>
  <c r="L55" i="343" s="1"/>
  <c r="K54" i="343"/>
  <c r="J54" i="343"/>
  <c r="L54" i="343" s="1"/>
  <c r="J53" i="343"/>
  <c r="L53" i="343" s="1"/>
  <c r="J52" i="343"/>
  <c r="L52" i="343" s="1"/>
  <c r="L51" i="343"/>
  <c r="K51" i="343"/>
  <c r="J51" i="343"/>
  <c r="K50" i="343"/>
  <c r="J50" i="343"/>
  <c r="L50" i="343" s="1"/>
  <c r="L49" i="343"/>
  <c r="J49" i="343"/>
  <c r="K49" i="343" s="1"/>
  <c r="K48" i="343"/>
  <c r="J48" i="343"/>
  <c r="L48" i="343" s="1"/>
  <c r="L47" i="343"/>
  <c r="K47" i="343"/>
  <c r="J47" i="343"/>
  <c r="L46" i="343"/>
  <c r="K46" i="343"/>
  <c r="J46" i="343"/>
  <c r="J45" i="343"/>
  <c r="L45" i="343" s="1"/>
  <c r="L44" i="343"/>
  <c r="K44" i="343"/>
  <c r="J44" i="343"/>
  <c r="K43" i="343"/>
  <c r="J43" i="343"/>
  <c r="L43" i="343" s="1"/>
  <c r="L42" i="343"/>
  <c r="K42" i="343"/>
  <c r="J42" i="343"/>
  <c r="L41" i="343"/>
  <c r="K41" i="343"/>
  <c r="J41" i="343"/>
  <c r="L40" i="343"/>
  <c r="K40" i="343"/>
  <c r="J40" i="343"/>
  <c r="L39" i="343"/>
  <c r="K39" i="343"/>
  <c r="J39" i="343"/>
  <c r="K38" i="343"/>
  <c r="J38" i="343"/>
  <c r="L38" i="343" s="1"/>
  <c r="L37" i="343"/>
  <c r="K37" i="343"/>
  <c r="J37" i="343"/>
  <c r="L36" i="343"/>
  <c r="K36" i="343"/>
  <c r="J36" i="343"/>
  <c r="L35" i="343"/>
  <c r="K35" i="343"/>
  <c r="J35" i="343"/>
  <c r="J34" i="343"/>
  <c r="L34" i="343" s="1"/>
  <c r="L33" i="343"/>
  <c r="K33" i="343"/>
  <c r="J33" i="343"/>
  <c r="J32" i="343"/>
  <c r="L32" i="343" s="1"/>
  <c r="L31" i="343"/>
  <c r="K31" i="343"/>
  <c r="J31" i="343"/>
  <c r="L30" i="343"/>
  <c r="K30" i="343"/>
  <c r="J30" i="343"/>
  <c r="L29" i="343"/>
  <c r="K29" i="343"/>
  <c r="J29" i="343"/>
  <c r="L28" i="343"/>
  <c r="K28" i="343"/>
  <c r="J28" i="343"/>
  <c r="J27" i="343"/>
  <c r="L27" i="343" s="1"/>
  <c r="J26" i="343"/>
  <c r="K26" i="343" s="1"/>
  <c r="K25" i="343"/>
  <c r="J25" i="343"/>
  <c r="L25" i="343" s="1"/>
  <c r="J24" i="343"/>
  <c r="L24" i="343" s="1"/>
  <c r="K23" i="343"/>
  <c r="J23" i="343"/>
  <c r="L23" i="343" s="1"/>
  <c r="K22" i="343"/>
  <c r="J22" i="343"/>
  <c r="L22" i="343" s="1"/>
  <c r="J21" i="343"/>
  <c r="L21" i="343" s="1"/>
  <c r="J20" i="343"/>
  <c r="L20" i="343" s="1"/>
  <c r="J19" i="343"/>
  <c r="L19" i="343" s="1"/>
  <c r="L18" i="343"/>
  <c r="K18" i="343"/>
  <c r="J18" i="343"/>
  <c r="J17" i="343"/>
  <c r="K17" i="343" s="1"/>
  <c r="L16" i="343"/>
  <c r="J16" i="343"/>
  <c r="K16" i="343" s="1"/>
  <c r="K15" i="343"/>
  <c r="J15" i="343"/>
  <c r="L15" i="343" s="1"/>
  <c r="L14" i="343"/>
  <c r="J14" i="343"/>
  <c r="K14" i="343" s="1"/>
  <c r="L13" i="343"/>
  <c r="K13" i="343"/>
  <c r="J13" i="343"/>
  <c r="J12" i="343"/>
  <c r="L12" i="343" s="1"/>
  <c r="L11" i="343"/>
  <c r="K11" i="343"/>
  <c r="J11" i="343"/>
  <c r="K10" i="343"/>
  <c r="J10" i="343"/>
  <c r="L10" i="343" s="1"/>
  <c r="K9" i="343"/>
  <c r="J9" i="343"/>
  <c r="L9" i="343" s="1"/>
  <c r="L8" i="343"/>
  <c r="K8" i="343"/>
  <c r="J8" i="343"/>
  <c r="J7" i="343"/>
  <c r="L7" i="343" s="1"/>
  <c r="N6" i="343" a="1"/>
  <c r="N6" i="343" s="1"/>
  <c r="J6" i="343"/>
  <c r="J96" i="343" s="1"/>
  <c r="J30" i="342"/>
  <c r="J31" i="342"/>
  <c r="J32" i="342"/>
  <c r="J33" i="342"/>
  <c r="K33" i="342" s="1"/>
  <c r="J34" i="342"/>
  <c r="L34" i="342" s="1"/>
  <c r="J35" i="342"/>
  <c r="J36" i="342"/>
  <c r="L36" i="342" s="1"/>
  <c r="J37" i="342"/>
  <c r="J38" i="342"/>
  <c r="J39" i="342"/>
  <c r="L39" i="342" s="1"/>
  <c r="J40" i="342"/>
  <c r="K40" i="342" s="1"/>
  <c r="J41" i="342"/>
  <c r="L41" i="342" s="1"/>
  <c r="J42" i="342"/>
  <c r="J43" i="342"/>
  <c r="J44" i="342"/>
  <c r="J45" i="342"/>
  <c r="J46" i="342"/>
  <c r="J47" i="342"/>
  <c r="J173" i="342"/>
  <c r="L173" i="342" s="1"/>
  <c r="J157" i="342"/>
  <c r="J140" i="342"/>
  <c r="K140" i="342" s="1"/>
  <c r="J191" i="342"/>
  <c r="L191" i="342" s="1"/>
  <c r="J192" i="342"/>
  <c r="K192" i="342" s="1"/>
  <c r="J193" i="342"/>
  <c r="L193" i="342" s="1"/>
  <c r="J194" i="342"/>
  <c r="K194" i="342" s="1"/>
  <c r="J195" i="342"/>
  <c r="L195" i="342" s="1"/>
  <c r="J196" i="342"/>
  <c r="L196" i="342" s="1"/>
  <c r="J197" i="342"/>
  <c r="L197" i="342" s="1"/>
  <c r="J198" i="342"/>
  <c r="L198" i="342" s="1"/>
  <c r="J199" i="342"/>
  <c r="K199" i="342" s="1"/>
  <c r="J200" i="342"/>
  <c r="L200" i="342" s="1"/>
  <c r="J201" i="342"/>
  <c r="L201" i="342" s="1"/>
  <c r="J202" i="342"/>
  <c r="L202" i="342" s="1"/>
  <c r="J203" i="342"/>
  <c r="L203" i="342" s="1"/>
  <c r="J204" i="342"/>
  <c r="L204" i="342" s="1"/>
  <c r="J205" i="342"/>
  <c r="K205" i="342" s="1"/>
  <c r="J206" i="342"/>
  <c r="L206" i="342" s="1"/>
  <c r="J207" i="342"/>
  <c r="K207" i="342" s="1"/>
  <c r="J208" i="342"/>
  <c r="L208" i="342" s="1"/>
  <c r="J209" i="342"/>
  <c r="L209" i="342" s="1"/>
  <c r="J210" i="342"/>
  <c r="L210" i="342" s="1"/>
  <c r="J211" i="342"/>
  <c r="L211" i="342" s="1"/>
  <c r="J212" i="342"/>
  <c r="L212" i="342" s="1"/>
  <c r="J213" i="342"/>
  <c r="L213" i="342" s="1"/>
  <c r="J214" i="342"/>
  <c r="L214" i="342" s="1"/>
  <c r="J215" i="342"/>
  <c r="L215" i="342" s="1"/>
  <c r="J216" i="342"/>
  <c r="K216" i="342" s="1"/>
  <c r="J217" i="342"/>
  <c r="L217" i="342" s="1"/>
  <c r="J218" i="342"/>
  <c r="L218" i="342" s="1"/>
  <c r="J219" i="342"/>
  <c r="L219" i="342" s="1"/>
  <c r="J220" i="342"/>
  <c r="K220" i="342" s="1"/>
  <c r="J221" i="342"/>
  <c r="L221" i="342" s="1"/>
  <c r="J222" i="342"/>
  <c r="L222" i="342" s="1"/>
  <c r="J223" i="342"/>
  <c r="L223" i="342" s="1"/>
  <c r="K191" i="342"/>
  <c r="K193" i="342"/>
  <c r="K195" i="342"/>
  <c r="K196" i="342"/>
  <c r="K197" i="342"/>
  <c r="K198" i="342"/>
  <c r="K200" i="342"/>
  <c r="K201" i="342"/>
  <c r="K202" i="342"/>
  <c r="K203" i="342"/>
  <c r="K204" i="342"/>
  <c r="K206" i="342"/>
  <c r="K208" i="342"/>
  <c r="K209" i="342"/>
  <c r="K210" i="342"/>
  <c r="K211" i="342"/>
  <c r="K212" i="342"/>
  <c r="K213" i="342"/>
  <c r="K214" i="342"/>
  <c r="K215" i="342"/>
  <c r="K217" i="342"/>
  <c r="K218" i="342"/>
  <c r="K219" i="342"/>
  <c r="K221" i="342"/>
  <c r="K222" i="342"/>
  <c r="K223" i="342"/>
  <c r="L42" i="342"/>
  <c r="L43" i="342"/>
  <c r="L44" i="342"/>
  <c r="L45" i="342"/>
  <c r="L46" i="342"/>
  <c r="L47" i="342"/>
  <c r="J48" i="342"/>
  <c r="L48" i="342" s="1"/>
  <c r="J49" i="342"/>
  <c r="L49" i="342" s="1"/>
  <c r="J50" i="342"/>
  <c r="J51" i="342"/>
  <c r="L51" i="342" s="1"/>
  <c r="J52" i="342"/>
  <c r="L52" i="342" s="1"/>
  <c r="J53" i="342"/>
  <c r="L53" i="342" s="1"/>
  <c r="J54" i="342"/>
  <c r="J55" i="342"/>
  <c r="K55" i="342" s="1"/>
  <c r="J56" i="342"/>
  <c r="K56" i="342" s="1"/>
  <c r="J57" i="342"/>
  <c r="L57" i="342" s="1"/>
  <c r="J58" i="342"/>
  <c r="J59" i="342"/>
  <c r="K59" i="342" s="1"/>
  <c r="J60" i="342"/>
  <c r="L60" i="342" s="1"/>
  <c r="J61" i="342"/>
  <c r="L61" i="342" s="1"/>
  <c r="J62" i="342"/>
  <c r="L62" i="342" s="1"/>
  <c r="J63" i="342"/>
  <c r="L63" i="342" s="1"/>
  <c r="J64" i="342"/>
  <c r="L64" i="342" s="1"/>
  <c r="J65" i="342"/>
  <c r="J66" i="342"/>
  <c r="J67" i="342"/>
  <c r="L67" i="342" s="1"/>
  <c r="J68" i="342"/>
  <c r="L68" i="342" s="1"/>
  <c r="J69" i="342"/>
  <c r="L69" i="342" s="1"/>
  <c r="J70" i="342"/>
  <c r="K70" i="342" s="1"/>
  <c r="J71" i="342"/>
  <c r="L71" i="342" s="1"/>
  <c r="J72" i="342"/>
  <c r="J73" i="342"/>
  <c r="L73" i="342" s="1"/>
  <c r="J74" i="342"/>
  <c r="L74" i="342" s="1"/>
  <c r="J75" i="342"/>
  <c r="K75" i="342" s="1"/>
  <c r="J76" i="342"/>
  <c r="K76" i="342" s="1"/>
  <c r="J77" i="342"/>
  <c r="L77" i="342" s="1"/>
  <c r="J78" i="342"/>
  <c r="L78" i="342" s="1"/>
  <c r="J79" i="342"/>
  <c r="L79" i="342" s="1"/>
  <c r="J80" i="342"/>
  <c r="J81" i="342"/>
  <c r="L81" i="342" s="1"/>
  <c r="J82" i="342"/>
  <c r="L82" i="342" s="1"/>
  <c r="J83" i="342"/>
  <c r="L83" i="342" s="1"/>
  <c r="J84" i="342"/>
  <c r="J85" i="342"/>
  <c r="L85" i="342" s="1"/>
  <c r="J86" i="342"/>
  <c r="L86" i="342" s="1"/>
  <c r="J87" i="342"/>
  <c r="L87" i="342" s="1"/>
  <c r="J88" i="342"/>
  <c r="L88" i="342" s="1"/>
  <c r="J89" i="342"/>
  <c r="L89" i="342" s="1"/>
  <c r="J90" i="342"/>
  <c r="L90" i="342" s="1"/>
  <c r="J91" i="342"/>
  <c r="J92" i="342"/>
  <c r="K92" i="342" s="1"/>
  <c r="J93" i="342"/>
  <c r="L93" i="342" s="1"/>
  <c r="J94" i="342"/>
  <c r="K94" i="342" s="1"/>
  <c r="J95" i="342"/>
  <c r="L95" i="342" s="1"/>
  <c r="J96" i="342"/>
  <c r="L96" i="342" s="1"/>
  <c r="J97" i="342"/>
  <c r="L97" i="342" s="1"/>
  <c r="J98" i="342"/>
  <c r="L98" i="342" s="1"/>
  <c r="J99" i="342"/>
  <c r="J100" i="342"/>
  <c r="L100" i="342" s="1"/>
  <c r="J101" i="342"/>
  <c r="L101" i="342" s="1"/>
  <c r="J102" i="342"/>
  <c r="K102" i="342" s="1"/>
  <c r="J103" i="342"/>
  <c r="L103" i="342" s="1"/>
  <c r="J104" i="342"/>
  <c r="L104" i="342" s="1"/>
  <c r="J105" i="342"/>
  <c r="L105" i="342" s="1"/>
  <c r="J106" i="342"/>
  <c r="J107" i="342"/>
  <c r="L107" i="342" s="1"/>
  <c r="J108" i="342"/>
  <c r="L108" i="342" s="1"/>
  <c r="J109" i="342"/>
  <c r="L109" i="342" s="1"/>
  <c r="J110" i="342"/>
  <c r="L110" i="342" s="1"/>
  <c r="J111" i="342"/>
  <c r="L111" i="342" s="1"/>
  <c r="J112" i="342"/>
  <c r="L112" i="342" s="1"/>
  <c r="J113" i="342"/>
  <c r="L113" i="342" s="1"/>
  <c r="J114" i="342"/>
  <c r="K114" i="342" s="1"/>
  <c r="J115" i="342"/>
  <c r="L115" i="342" s="1"/>
  <c r="J116" i="342"/>
  <c r="L116" i="342" s="1"/>
  <c r="J117" i="342"/>
  <c r="L117" i="342" s="1"/>
  <c r="J118" i="342"/>
  <c r="J119" i="342"/>
  <c r="K119" i="342" s="1"/>
  <c r="J120" i="342"/>
  <c r="L120" i="342" s="1"/>
  <c r="J121" i="342"/>
  <c r="L121" i="342" s="1"/>
  <c r="J122" i="342"/>
  <c r="L122" i="342" s="1"/>
  <c r="J123" i="342"/>
  <c r="K123" i="342" s="1"/>
  <c r="J124" i="342"/>
  <c r="L124" i="342" s="1"/>
  <c r="J125" i="342"/>
  <c r="L125" i="342" s="1"/>
  <c r="J126" i="342"/>
  <c r="J127" i="342"/>
  <c r="L127" i="342" s="1"/>
  <c r="J128" i="342"/>
  <c r="L128" i="342" s="1"/>
  <c r="J129" i="342"/>
  <c r="L129" i="342" s="1"/>
  <c r="J130" i="342"/>
  <c r="L130" i="342" s="1"/>
  <c r="J131" i="342"/>
  <c r="L131" i="342" s="1"/>
  <c r="J132" i="342"/>
  <c r="K132" i="342" s="1"/>
  <c r="J133" i="342"/>
  <c r="L133" i="342" s="1"/>
  <c r="J134" i="342"/>
  <c r="L134" i="342" s="1"/>
  <c r="J135" i="342"/>
  <c r="K135" i="342" s="1"/>
  <c r="J136" i="342"/>
  <c r="L136" i="342" s="1"/>
  <c r="J137" i="342"/>
  <c r="L137" i="342" s="1"/>
  <c r="J138" i="342"/>
  <c r="J139" i="342"/>
  <c r="L139" i="342" s="1"/>
  <c r="J141" i="342"/>
  <c r="L141" i="342" s="1"/>
  <c r="J142" i="342"/>
  <c r="K142" i="342" s="1"/>
  <c r="J143" i="342"/>
  <c r="K143" i="342" s="1"/>
  <c r="J144" i="342"/>
  <c r="L144" i="342" s="1"/>
  <c r="J145" i="342"/>
  <c r="L145" i="342" s="1"/>
  <c r="J146" i="342"/>
  <c r="K146" i="342" s="1"/>
  <c r="J147" i="342"/>
  <c r="L147" i="342" s="1"/>
  <c r="J148" i="342"/>
  <c r="K148" i="342" s="1"/>
  <c r="J149" i="342"/>
  <c r="L149" i="342" s="1"/>
  <c r="J150" i="342"/>
  <c r="J151" i="342"/>
  <c r="L151" i="342" s="1"/>
  <c r="J152" i="342"/>
  <c r="L152" i="342" s="1"/>
  <c r="J153" i="342"/>
  <c r="L153" i="342" s="1"/>
  <c r="J154" i="342"/>
  <c r="L154" i="342" s="1"/>
  <c r="J155" i="342"/>
  <c r="L155" i="342" s="1"/>
  <c r="J156" i="342"/>
  <c r="L156" i="342" s="1"/>
  <c r="K157" i="342"/>
  <c r="J158" i="342"/>
  <c r="L158" i="342" s="1"/>
  <c r="J159" i="342"/>
  <c r="L159" i="342" s="1"/>
  <c r="J160" i="342"/>
  <c r="K160" i="342" s="1"/>
  <c r="J161" i="342"/>
  <c r="J162" i="342"/>
  <c r="L162" i="342" s="1"/>
  <c r="J163" i="342"/>
  <c r="L163" i="342" s="1"/>
  <c r="J164" i="342"/>
  <c r="L164" i="342" s="1"/>
  <c r="J165" i="342"/>
  <c r="J166" i="342"/>
  <c r="L166" i="342" s="1"/>
  <c r="J167" i="342"/>
  <c r="K167" i="342" s="1"/>
  <c r="J168" i="342"/>
  <c r="L168" i="342" s="1"/>
  <c r="J169" i="342"/>
  <c r="J170" i="342"/>
  <c r="L170" i="342" s="1"/>
  <c r="J171" i="342"/>
  <c r="L171" i="342" s="1"/>
  <c r="J172" i="342"/>
  <c r="L172" i="342" s="1"/>
  <c r="J174" i="342"/>
  <c r="L174" i="342" s="1"/>
  <c r="J175" i="342"/>
  <c r="L175" i="342" s="1"/>
  <c r="J176" i="342"/>
  <c r="K176" i="342" s="1"/>
  <c r="J177" i="342"/>
  <c r="J178" i="342"/>
  <c r="L178" i="342" s="1"/>
  <c r="J179" i="342"/>
  <c r="L179" i="342" s="1"/>
  <c r="J180" i="342"/>
  <c r="L180" i="342" s="1"/>
  <c r="J181" i="342"/>
  <c r="L181" i="342" s="1"/>
  <c r="J182" i="342"/>
  <c r="L182" i="342" s="1"/>
  <c r="J183" i="342"/>
  <c r="L183" i="342" s="1"/>
  <c r="J184" i="342"/>
  <c r="J185" i="342"/>
  <c r="L185" i="342" s="1"/>
  <c r="J186" i="342"/>
  <c r="L186" i="342" s="1"/>
  <c r="J187" i="342"/>
  <c r="L187" i="342" s="1"/>
  <c r="J188" i="342"/>
  <c r="J189" i="342"/>
  <c r="L189" i="342" s="1"/>
  <c r="J190" i="342"/>
  <c r="L190" i="342" s="1"/>
  <c r="K190" i="342"/>
  <c r="K188" i="342"/>
  <c r="K187" i="342"/>
  <c r="K186" i="342"/>
  <c r="K185" i="342"/>
  <c r="K184" i="342"/>
  <c r="K182" i="342"/>
  <c r="K181" i="342"/>
  <c r="K180" i="342"/>
  <c r="K178" i="342"/>
  <c r="K177" i="342"/>
  <c r="K175" i="342"/>
  <c r="K174" i="342"/>
  <c r="K170" i="342"/>
  <c r="K169" i="342"/>
  <c r="K168" i="342"/>
  <c r="K166" i="342"/>
  <c r="K165" i="342"/>
  <c r="K163" i="342"/>
  <c r="K162" i="342"/>
  <c r="K161" i="342"/>
  <c r="K159" i="342"/>
  <c r="K158" i="342"/>
  <c r="K156" i="342"/>
  <c r="K155" i="342"/>
  <c r="K154" i="342"/>
  <c r="K152" i="342"/>
  <c r="K151" i="342"/>
  <c r="K150" i="342"/>
  <c r="K147" i="342"/>
  <c r="K145" i="342"/>
  <c r="K144" i="342"/>
  <c r="K139" i="342"/>
  <c r="K138" i="342"/>
  <c r="K137" i="342"/>
  <c r="K136" i="342"/>
  <c r="K134" i="342"/>
  <c r="K131" i="342"/>
  <c r="K129" i="342"/>
  <c r="K128" i="342"/>
  <c r="K127" i="342"/>
  <c r="K126" i="342"/>
  <c r="K124" i="342"/>
  <c r="K120" i="342"/>
  <c r="K118" i="342"/>
  <c r="K115" i="342"/>
  <c r="K112" i="342"/>
  <c r="K111" i="342"/>
  <c r="K110" i="342"/>
  <c r="K109" i="342"/>
  <c r="K108" i="342"/>
  <c r="K107" i="342"/>
  <c r="K105" i="342"/>
  <c r="K104" i="342"/>
  <c r="K103" i="342"/>
  <c r="K101" i="342"/>
  <c r="K100" i="342"/>
  <c r="K98" i="342"/>
  <c r="K97" i="342"/>
  <c r="K95" i="342"/>
  <c r="K93" i="342"/>
  <c r="K89" i="342"/>
  <c r="K88" i="342"/>
  <c r="K87" i="342"/>
  <c r="K86" i="342"/>
  <c r="K81" i="342"/>
  <c r="AB64" i="342"/>
  <c r="AA64" i="342"/>
  <c r="Z64" i="342"/>
  <c r="Y64" i="342"/>
  <c r="X64" i="342"/>
  <c r="W64" i="342"/>
  <c r="V64" i="342"/>
  <c r="U64" i="342"/>
  <c r="T64" i="342"/>
  <c r="S64" i="342"/>
  <c r="R64" i="342"/>
  <c r="Q64" i="342"/>
  <c r="P64" i="342"/>
  <c r="O64" i="342"/>
  <c r="L32" i="342"/>
  <c r="L30" i="342"/>
  <c r="J29" i="342"/>
  <c r="L29" i="342" s="1"/>
  <c r="J28" i="342"/>
  <c r="L28" i="342" s="1"/>
  <c r="J27" i="342"/>
  <c r="J26" i="342"/>
  <c r="L26" i="342" s="1"/>
  <c r="J25" i="342"/>
  <c r="K25" i="342" s="1"/>
  <c r="J24" i="342"/>
  <c r="L24" i="342" s="1"/>
  <c r="J23" i="342"/>
  <c r="J22" i="342"/>
  <c r="L22" i="342" s="1"/>
  <c r="J21" i="342"/>
  <c r="L21" i="342" s="1"/>
  <c r="J20" i="342"/>
  <c r="L20" i="342" s="1"/>
  <c r="J19" i="342"/>
  <c r="J18" i="342"/>
  <c r="L18" i="342" s="1"/>
  <c r="J17" i="342"/>
  <c r="K17" i="342" s="1"/>
  <c r="J16" i="342"/>
  <c r="L16" i="342" s="1"/>
  <c r="J15" i="342"/>
  <c r="J14" i="342"/>
  <c r="L14" i="342" s="1"/>
  <c r="J13" i="342"/>
  <c r="L13" i="342" s="1"/>
  <c r="J12" i="342"/>
  <c r="K12" i="342" s="1"/>
  <c r="J11" i="342"/>
  <c r="J10" i="342"/>
  <c r="L10" i="342" s="1"/>
  <c r="J9" i="342"/>
  <c r="J8" i="342"/>
  <c r="J7" i="342"/>
  <c r="L7" i="342" s="1"/>
  <c r="N6" i="342" a="1"/>
  <c r="N6" i="342" s="1"/>
  <c r="J6" i="342"/>
  <c r="L17" i="343" l="1"/>
  <c r="K32" i="343"/>
  <c r="L89" i="343"/>
  <c r="K19" i="343"/>
  <c r="L26" i="343"/>
  <c r="K52" i="343"/>
  <c r="K12" i="343"/>
  <c r="K34" i="343"/>
  <c r="K45" i="343"/>
  <c r="K77" i="343"/>
  <c r="K27" i="343"/>
  <c r="K70" i="343"/>
  <c r="K7" i="343"/>
  <c r="K20" i="343"/>
  <c r="K53" i="343"/>
  <c r="K85" i="343"/>
  <c r="L6" i="343"/>
  <c r="R6" i="343"/>
  <c r="K21" i="343"/>
  <c r="K24" i="343"/>
  <c r="K6" i="343"/>
  <c r="K55" i="343"/>
  <c r="K80" i="343"/>
  <c r="S6" i="343"/>
  <c r="L59" i="343"/>
  <c r="K171" i="342"/>
  <c r="K60" i="342"/>
  <c r="L123" i="342"/>
  <c r="L59" i="342"/>
  <c r="L216" i="342"/>
  <c r="L192" i="342"/>
  <c r="K67" i="342"/>
  <c r="L56" i="342"/>
  <c r="L75" i="342"/>
  <c r="L76" i="342"/>
  <c r="K51" i="342"/>
  <c r="L148" i="342"/>
  <c r="K52" i="342"/>
  <c r="K179" i="342"/>
  <c r="L220" i="342"/>
  <c r="L92" i="342"/>
  <c r="K96" i="342"/>
  <c r="K63" i="342"/>
  <c r="L143" i="342"/>
  <c r="L160" i="342"/>
  <c r="L167" i="342"/>
  <c r="L205" i="342"/>
  <c r="K48" i="342"/>
  <c r="L135" i="342"/>
  <c r="K64" i="342"/>
  <c r="L119" i="342"/>
  <c r="L55" i="342"/>
  <c r="K77" i="342"/>
  <c r="L25" i="342"/>
  <c r="K125" i="342"/>
  <c r="L132" i="342"/>
  <c r="K43" i="342"/>
  <c r="K47" i="342"/>
  <c r="K68" i="342"/>
  <c r="L157" i="342"/>
  <c r="K189" i="342"/>
  <c r="L17" i="342"/>
  <c r="K29" i="342"/>
  <c r="K62" i="342"/>
  <c r="K74" i="342"/>
  <c r="K21" i="342"/>
  <c r="L94" i="342"/>
  <c r="K78" i="342"/>
  <c r="K82" i="342"/>
  <c r="L102" i="342"/>
  <c r="K13" i="342"/>
  <c r="K42" i="342"/>
  <c r="K46" i="342"/>
  <c r="L33" i="342"/>
  <c r="L40" i="342"/>
  <c r="L70" i="342"/>
  <c r="L140" i="342"/>
  <c r="K45" i="342"/>
  <c r="K16" i="342"/>
  <c r="K24" i="342"/>
  <c r="K32" i="342"/>
  <c r="K36" i="342"/>
  <c r="K20" i="342"/>
  <c r="K28" i="342"/>
  <c r="L12" i="342"/>
  <c r="K39" i="342"/>
  <c r="K133" i="342"/>
  <c r="K69" i="342"/>
  <c r="K73" i="342"/>
  <c r="K7" i="342"/>
  <c r="K61" i="342"/>
  <c r="K85" i="342"/>
  <c r="K173" i="342"/>
  <c r="L176" i="342"/>
  <c r="L207" i="342"/>
  <c r="K116" i="342"/>
  <c r="L199" i="342"/>
  <c r="L194" i="342"/>
  <c r="P65" i="342"/>
  <c r="J224" i="342"/>
  <c r="L6" i="342"/>
  <c r="S6" i="342"/>
  <c r="K6" i="342"/>
  <c r="R6" i="342"/>
  <c r="K8" i="342"/>
  <c r="L8" i="342"/>
  <c r="K11" i="342"/>
  <c r="L11" i="342"/>
  <c r="L15" i="342"/>
  <c r="K15" i="342"/>
  <c r="K19" i="342"/>
  <c r="L19" i="342"/>
  <c r="K23" i="342"/>
  <c r="L23" i="342"/>
  <c r="K27" i="342"/>
  <c r="L27" i="342"/>
  <c r="L31" i="342"/>
  <c r="K31" i="342"/>
  <c r="K35" i="342"/>
  <c r="L35" i="342"/>
  <c r="K65" i="342"/>
  <c r="L65" i="342"/>
  <c r="K66" i="342"/>
  <c r="L66" i="342"/>
  <c r="L72" i="342"/>
  <c r="K72" i="342"/>
  <c r="K99" i="342"/>
  <c r="L99" i="342"/>
  <c r="K106" i="342"/>
  <c r="L106" i="342"/>
  <c r="K37" i="342"/>
  <c r="L37" i="342"/>
  <c r="K91" i="342"/>
  <c r="L91" i="342"/>
  <c r="K9" i="342"/>
  <c r="L9" i="342"/>
  <c r="K38" i="342"/>
  <c r="L38" i="342"/>
  <c r="L50" i="342"/>
  <c r="K50" i="342"/>
  <c r="L54" i="342"/>
  <c r="K54" i="342"/>
  <c r="K58" i="342"/>
  <c r="L58" i="342"/>
  <c r="L80" i="342"/>
  <c r="K80" i="342"/>
  <c r="K84" i="342"/>
  <c r="L84" i="342"/>
  <c r="K122" i="342"/>
  <c r="K130" i="342"/>
  <c r="K10" i="342"/>
  <c r="K14" i="342"/>
  <c r="K18" i="342"/>
  <c r="K22" i="342"/>
  <c r="K26" i="342"/>
  <c r="K30" i="342"/>
  <c r="K34" i="342"/>
  <c r="K41" i="342"/>
  <c r="K44" i="342"/>
  <c r="K49" i="342"/>
  <c r="K53" i="342"/>
  <c r="K57" i="342"/>
  <c r="K71" i="342"/>
  <c r="K79" i="342"/>
  <c r="K83" i="342"/>
  <c r="K90" i="342"/>
  <c r="K113" i="342"/>
  <c r="L114" i="342"/>
  <c r="K117" i="342"/>
  <c r="L118" i="342"/>
  <c r="K121" i="342"/>
  <c r="L126" i="342"/>
  <c r="L138" i="342"/>
  <c r="K141" i="342"/>
  <c r="L142" i="342"/>
  <c r="L146" i="342"/>
  <c r="K149" i="342"/>
  <c r="L150" i="342"/>
  <c r="K153" i="342"/>
  <c r="L161" i="342"/>
  <c r="K164" i="342"/>
  <c r="L165" i="342"/>
  <c r="L169" i="342"/>
  <c r="K172" i="342"/>
  <c r="L177" i="342"/>
  <c r="K183" i="342"/>
  <c r="L184" i="342"/>
  <c r="L188" i="342"/>
  <c r="P7" i="343" l="1"/>
  <c r="P8" i="343"/>
  <c r="Q7" i="343"/>
  <c r="Q6" i="343"/>
  <c r="Q9" i="343" s="1"/>
  <c r="P6" i="343"/>
  <c r="S36" i="343"/>
  <c r="R36" i="343"/>
  <c r="Q36" i="343"/>
  <c r="V36" i="343"/>
  <c r="P36" i="343"/>
  <c r="O36" i="343"/>
  <c r="U36" i="343"/>
  <c r="T36" i="343"/>
  <c r="X36" i="343"/>
  <c r="W36" i="343"/>
  <c r="T6" i="343"/>
  <c r="P8" i="342"/>
  <c r="Q7" i="342"/>
  <c r="Q6" i="342"/>
  <c r="P7" i="342"/>
  <c r="P6" i="342"/>
  <c r="T6" i="342"/>
  <c r="R36" i="342"/>
  <c r="X36" i="342"/>
  <c r="T36" i="342"/>
  <c r="P36" i="342"/>
  <c r="V36" i="342"/>
  <c r="W36" i="342"/>
  <c r="S36" i="342"/>
  <c r="O36" i="342"/>
  <c r="Q36" i="342"/>
  <c r="U36" i="342"/>
  <c r="P37" i="343" l="1"/>
  <c r="P9" i="343"/>
  <c r="Q9" i="342"/>
  <c r="P9" i="342"/>
  <c r="P37" i="342"/>
  <c r="J16" i="312" l="1"/>
  <c r="J17" i="312"/>
  <c r="L17" i="312" s="1"/>
  <c r="J18" i="312"/>
  <c r="L18" i="312" s="1"/>
  <c r="K18" i="312"/>
  <c r="J19" i="312"/>
  <c r="L19" i="312" s="1"/>
  <c r="J20" i="312"/>
  <c r="J21" i="312"/>
  <c r="K21" i="312" s="1"/>
  <c r="J22" i="312"/>
  <c r="L22" i="312" s="1"/>
  <c r="K22" i="312"/>
  <c r="J23" i="312"/>
  <c r="L23" i="312" s="1"/>
  <c r="K23" i="312"/>
  <c r="J24" i="312"/>
  <c r="K24" i="312" s="1"/>
  <c r="J25" i="312"/>
  <c r="L25" i="312" s="1"/>
  <c r="K25" i="312"/>
  <c r="J26" i="312"/>
  <c r="K26" i="312" s="1"/>
  <c r="J27" i="312"/>
  <c r="J28" i="312"/>
  <c r="L28" i="312" s="1"/>
  <c r="K28" i="312"/>
  <c r="J29" i="312"/>
  <c r="L29" i="312" s="1"/>
  <c r="K29" i="312"/>
  <c r="J30" i="312"/>
  <c r="J31" i="312"/>
  <c r="L31" i="312" s="1"/>
  <c r="J32" i="312"/>
  <c r="K32" i="312" s="1"/>
  <c r="J33" i="312"/>
  <c r="L33" i="312" s="1"/>
  <c r="K33" i="312"/>
  <c r="J34" i="312"/>
  <c r="L34" i="312" s="1"/>
  <c r="J35" i="312"/>
  <c r="L35" i="312" s="1"/>
  <c r="K35" i="312"/>
  <c r="J36" i="312"/>
  <c r="L36" i="312" s="1"/>
  <c r="K36" i="312"/>
  <c r="J37" i="312"/>
  <c r="L37" i="312" s="1"/>
  <c r="K37" i="312"/>
  <c r="J38" i="312"/>
  <c r="L38" i="312" s="1"/>
  <c r="K38" i="312"/>
  <c r="J39" i="312"/>
  <c r="J40" i="312"/>
  <c r="L40" i="312" s="1"/>
  <c r="K40" i="312"/>
  <c r="J41" i="312"/>
  <c r="L41" i="312" s="1"/>
  <c r="K41" i="312"/>
  <c r="J42" i="312"/>
  <c r="J43" i="312"/>
  <c r="L43" i="312" s="1"/>
  <c r="K43" i="312"/>
  <c r="J44" i="312"/>
  <c r="J45" i="312"/>
  <c r="L45" i="312" s="1"/>
  <c r="J46" i="312"/>
  <c r="L46" i="312" s="1"/>
  <c r="K46" i="312"/>
  <c r="J47" i="312"/>
  <c r="L47" i="312" s="1"/>
  <c r="K47" i="312"/>
  <c r="J48" i="312"/>
  <c r="L48" i="312" s="1"/>
  <c r="K48" i="312"/>
  <c r="J49" i="312"/>
  <c r="J50" i="312"/>
  <c r="L50" i="312" s="1"/>
  <c r="K50" i="312"/>
  <c r="J51" i="312"/>
  <c r="L51" i="312" s="1"/>
  <c r="K51" i="312"/>
  <c r="J52" i="312"/>
  <c r="J53" i="312"/>
  <c r="J54" i="312"/>
  <c r="L54" i="312" s="1"/>
  <c r="K54" i="312"/>
  <c r="J55" i="312"/>
  <c r="J56" i="312"/>
  <c r="K56" i="312" s="1"/>
  <c r="J57" i="312"/>
  <c r="L57" i="312" s="1"/>
  <c r="K57" i="312"/>
  <c r="J58" i="312"/>
  <c r="L58" i="312" s="1"/>
  <c r="K58" i="312"/>
  <c r="J59" i="312"/>
  <c r="K59" i="312" s="1"/>
  <c r="J60" i="312"/>
  <c r="L60" i="312" s="1"/>
  <c r="K60" i="312"/>
  <c r="J61" i="312"/>
  <c r="L61" i="312" s="1"/>
  <c r="K61" i="312"/>
  <c r="J62" i="312"/>
  <c r="L62" i="312" s="1"/>
  <c r="K62" i="312"/>
  <c r="J63" i="312"/>
  <c r="K63" i="312" s="1"/>
  <c r="J64" i="312"/>
  <c r="L64" i="312" s="1"/>
  <c r="J65" i="312"/>
  <c r="L65" i="312" s="1"/>
  <c r="K65" i="312"/>
  <c r="J66" i="312"/>
  <c r="J67" i="312"/>
  <c r="L67" i="312" s="1"/>
  <c r="K67" i="312"/>
  <c r="J68" i="312"/>
  <c r="L68" i="312" s="1"/>
  <c r="K68" i="312"/>
  <c r="J69" i="312"/>
  <c r="L69" i="312" s="1"/>
  <c r="K69" i="312"/>
  <c r="J70" i="312"/>
  <c r="J71" i="312"/>
  <c r="L71" i="312" s="1"/>
  <c r="J72" i="312"/>
  <c r="L72" i="312" s="1"/>
  <c r="K72" i="312"/>
  <c r="J73" i="312"/>
  <c r="L73" i="312" s="1"/>
  <c r="K73" i="312"/>
  <c r="J74" i="312"/>
  <c r="J75" i="312"/>
  <c r="L75" i="312" s="1"/>
  <c r="K75" i="312"/>
  <c r="J76" i="312"/>
  <c r="J77" i="312"/>
  <c r="K77" i="312" s="1"/>
  <c r="J78" i="312"/>
  <c r="L78" i="312" s="1"/>
  <c r="K78" i="312"/>
  <c r="J79" i="312"/>
  <c r="L79" i="312" s="1"/>
  <c r="K79" i="312"/>
  <c r="J80" i="312"/>
  <c r="K80" i="312" s="1"/>
  <c r="J81" i="312"/>
  <c r="K81" i="312" s="1"/>
  <c r="J82" i="312"/>
  <c r="L82" i="312" s="1"/>
  <c r="K82" i="312"/>
  <c r="J83" i="312"/>
  <c r="L83" i="312" s="1"/>
  <c r="K83" i="312"/>
  <c r="J84" i="312"/>
  <c r="L84" i="312" s="1"/>
  <c r="K84" i="312"/>
  <c r="J85" i="312"/>
  <c r="K85" i="312" s="1"/>
  <c r="J86" i="312"/>
  <c r="L86" i="312" s="1"/>
  <c r="K86" i="312"/>
  <c r="J87" i="312"/>
  <c r="L87" i="312" s="1"/>
  <c r="K87" i="312"/>
  <c r="J88" i="312"/>
  <c r="L88" i="312" s="1"/>
  <c r="K88" i="312"/>
  <c r="J89" i="312"/>
  <c r="K89" i="312" s="1"/>
  <c r="J90" i="312"/>
  <c r="L90" i="312" s="1"/>
  <c r="K90" i="312"/>
  <c r="J91" i="312"/>
  <c r="L91" i="312" s="1"/>
  <c r="K91" i="312"/>
  <c r="J92" i="312"/>
  <c r="L92" i="312" s="1"/>
  <c r="K92" i="312"/>
  <c r="J93" i="312"/>
  <c r="L93" i="312" s="1"/>
  <c r="K93" i="312"/>
  <c r="J94" i="312"/>
  <c r="L94" i="312" s="1"/>
  <c r="K94" i="312"/>
  <c r="J95" i="312"/>
  <c r="L95" i="312" s="1"/>
  <c r="K95" i="312"/>
  <c r="J6" i="312"/>
  <c r="J7" i="312"/>
  <c r="J8" i="312"/>
  <c r="J9" i="312"/>
  <c r="J10" i="312"/>
  <c r="L10" i="312" s="1"/>
  <c r="J11" i="312"/>
  <c r="L11" i="312" s="1"/>
  <c r="J12" i="312"/>
  <c r="J13" i="312"/>
  <c r="L13" i="312" s="1"/>
  <c r="J14" i="312"/>
  <c r="J15" i="312"/>
  <c r="L15" i="312" s="1"/>
  <c r="O64" i="312"/>
  <c r="P64" i="312"/>
  <c r="Q64" i="312"/>
  <c r="R64" i="312"/>
  <c r="S64" i="312"/>
  <c r="T64" i="312"/>
  <c r="U64" i="312"/>
  <c r="V64" i="312"/>
  <c r="W64" i="312"/>
  <c r="X64" i="312"/>
  <c r="Y64" i="312"/>
  <c r="Z64" i="312"/>
  <c r="AA64" i="312"/>
  <c r="K15" i="312"/>
  <c r="K13" i="312"/>
  <c r="K11" i="312"/>
  <c r="N6" i="312" a="1"/>
  <c r="N6" i="312" s="1"/>
  <c r="K10" i="312"/>
  <c r="R6" i="312" l="1"/>
  <c r="K14" i="312"/>
  <c r="L14" i="312"/>
  <c r="K12" i="312"/>
  <c r="L12" i="312"/>
  <c r="P65" i="312"/>
  <c r="K8" i="312"/>
  <c r="L8" i="312"/>
  <c r="J96" i="312"/>
  <c r="S6" i="312"/>
  <c r="L7" i="312"/>
  <c r="K7" i="312"/>
  <c r="L56" i="312"/>
  <c r="K34" i="312"/>
  <c r="L21" i="312"/>
  <c r="L77" i="312"/>
  <c r="L63" i="312"/>
  <c r="L32" i="312"/>
  <c r="K17" i="312"/>
  <c r="L59" i="312"/>
  <c r="L24" i="312"/>
  <c r="L81" i="312"/>
  <c r="L89" i="312"/>
  <c r="K71" i="312"/>
  <c r="K45" i="312"/>
  <c r="L80" i="312"/>
  <c r="L26" i="312"/>
  <c r="K70" i="312"/>
  <c r="L70" i="312"/>
  <c r="K76" i="312"/>
  <c r="L76" i="312"/>
  <c r="L6" i="312"/>
  <c r="K6" i="312"/>
  <c r="L9" i="312"/>
  <c r="K9" i="312"/>
  <c r="L74" i="312"/>
  <c r="K74" i="312"/>
  <c r="L85" i="312"/>
  <c r="K64" i="312"/>
  <c r="K44" i="312"/>
  <c r="L44" i="312"/>
  <c r="L39" i="312"/>
  <c r="K39" i="312"/>
  <c r="K31" i="312"/>
  <c r="K20" i="312"/>
  <c r="L20" i="312"/>
  <c r="K53" i="312"/>
  <c r="L53" i="312"/>
  <c r="K49" i="312"/>
  <c r="L49" i="312"/>
  <c r="L42" i="312"/>
  <c r="K42" i="312"/>
  <c r="L27" i="312"/>
  <c r="K27" i="312"/>
  <c r="L30" i="312"/>
  <c r="K30" i="312"/>
  <c r="K16" i="312"/>
  <c r="L16" i="312"/>
  <c r="K52" i="312"/>
  <c r="L52" i="312"/>
  <c r="L66" i="312"/>
  <c r="K66" i="312"/>
  <c r="K19" i="312"/>
  <c r="L55" i="312"/>
  <c r="K55" i="312"/>
  <c r="T6" i="312" l="1"/>
  <c r="S36" i="312"/>
  <c r="W36" i="312"/>
  <c r="V36" i="312"/>
  <c r="P36" i="312"/>
  <c r="T36" i="312"/>
  <c r="X36" i="312"/>
  <c r="U36" i="312"/>
  <c r="O36" i="312"/>
  <c r="R36" i="312"/>
  <c r="P8" i="312"/>
  <c r="P7" i="312"/>
  <c r="P6" i="312"/>
  <c r="Q7" i="312"/>
  <c r="Q6" i="312"/>
  <c r="Q36" i="312"/>
  <c r="Q9" i="312" l="1"/>
  <c r="P37" i="312"/>
  <c r="P9" i="3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danivelve</author>
  </authors>
  <commentList>
    <comment ref="J66" authorId="0" shapeId="0" xr:uid="{1A37BA98-3D1A-4B60-8930-B9B38A2AC666}">
      <text>
        <r>
          <rPr>
            <b/>
            <sz val="9"/>
            <color indexed="81"/>
            <rFont val="Tahoma"/>
            <family val="2"/>
          </rPr>
          <t>danivelve:</t>
        </r>
        <r>
          <rPr>
            <sz val="9"/>
            <color indexed="81"/>
            <rFont val="Tahoma"/>
            <family val="2"/>
          </rPr>
          <t xml:space="preserve">
Leakage on BRV</t>
        </r>
      </text>
    </comment>
    <comment ref="J102" authorId="0" shapeId="0" xr:uid="{FA722482-8263-4D73-9A16-0A2167E11E35}">
      <text>
        <r>
          <rPr>
            <b/>
            <sz val="9"/>
            <color indexed="81"/>
            <rFont val="Tahoma"/>
            <family val="2"/>
          </rPr>
          <t>danivelve:</t>
        </r>
        <r>
          <rPr>
            <sz val="9"/>
            <color indexed="81"/>
            <rFont val="Tahoma"/>
            <family val="2"/>
          </rPr>
          <t xml:space="preserve">
No input time recorded</t>
        </r>
      </text>
    </comment>
  </commentList>
</comments>
</file>

<file path=xl/sharedStrings.xml><?xml version="1.0" encoding="utf-8"?>
<sst xmlns="http://schemas.openxmlformats.org/spreadsheetml/2006/main" count="2346" uniqueCount="538">
  <si>
    <t>LOADING- ACCRA PLAINS DEPOT</t>
  </si>
  <si>
    <r>
      <rPr>
        <b/>
        <i/>
        <sz val="11"/>
        <color theme="1"/>
        <rFont val="Calibri"/>
        <family val="2"/>
        <scheme val="minor"/>
      </rPr>
      <t>NOTE:</t>
    </r>
    <r>
      <rPr>
        <i/>
        <sz val="11"/>
        <color theme="1"/>
        <rFont val="Calibri"/>
        <family val="2"/>
        <scheme val="minor"/>
      </rPr>
      <t xml:space="preserve"> Only edit plain/unhighlighted Cell. Try not to Alter Highlighted Cells</t>
    </r>
  </si>
  <si>
    <t>Date:</t>
  </si>
  <si>
    <t>Depot:</t>
  </si>
  <si>
    <t>Accra Plains Depot</t>
  </si>
  <si>
    <t>Expected TAT(Hrs)=</t>
  </si>
  <si>
    <t>Ref Capacity</t>
  </si>
  <si>
    <t>ITEM</t>
  </si>
  <si>
    <t>BOST/ OMC</t>
  </si>
  <si>
    <t>BRV #</t>
  </si>
  <si>
    <t>BDC</t>
  </si>
  <si>
    <t>TRANSPORTER</t>
  </si>
  <si>
    <t>PRODUCT</t>
  </si>
  <si>
    <t>CAPACITY</t>
  </si>
  <si>
    <t>TIME IN</t>
  </si>
  <si>
    <t>TIME OUT</t>
  </si>
  <si>
    <t xml:space="preserve">TAT </t>
  </si>
  <si>
    <t>REMARKS</t>
  </si>
  <si>
    <t>Number of BRV(s)</t>
  </si>
  <si>
    <t xml:space="preserve">Average of TAT </t>
  </si>
  <si>
    <t>Best Time(BT)</t>
  </si>
  <si>
    <t>Worse time (WT)</t>
  </si>
  <si>
    <t>Variance(BT-WT)</t>
  </si>
  <si>
    <t>BOST</t>
  </si>
  <si>
    <t>AGO</t>
  </si>
  <si>
    <t>Passed</t>
  </si>
  <si>
    <t xml:space="preserve">DANICOM </t>
  </si>
  <si>
    <t>Failed</t>
  </si>
  <si>
    <t>Grand Total</t>
  </si>
  <si>
    <t xml:space="preserve">BATTCO </t>
  </si>
  <si>
    <t xml:space="preserve">BEMLARB </t>
  </si>
  <si>
    <t>PMS</t>
  </si>
  <si>
    <t>GT 5081-17</t>
  </si>
  <si>
    <t xml:space="preserve"> EAGLE PETROLEUM </t>
  </si>
  <si>
    <t xml:space="preserve">PROTECTOR </t>
  </si>
  <si>
    <t>GE 7864-19</t>
  </si>
  <si>
    <t>J.K HORGLE</t>
  </si>
  <si>
    <t xml:space="preserve">INNER LIFE </t>
  </si>
  <si>
    <t>LONG BRIDGE</t>
  </si>
  <si>
    <t xml:space="preserve">OSUHAUL </t>
  </si>
  <si>
    <t>AW 9595-11</t>
  </si>
  <si>
    <t>GN 7738-16</t>
  </si>
  <si>
    <t>OIL FAST</t>
  </si>
  <si>
    <t>TAKWAFO</t>
  </si>
  <si>
    <t>GN 9286-12</t>
  </si>
  <si>
    <t xml:space="preserve">EXCEL OIL </t>
  </si>
  <si>
    <t xml:space="preserve">JAK-RAK </t>
  </si>
  <si>
    <t>MEDIALE VENTURES</t>
  </si>
  <si>
    <t>GT 8034-Y</t>
  </si>
  <si>
    <t xml:space="preserve">SUPREME FX </t>
  </si>
  <si>
    <t xml:space="preserve">YES ENERGY </t>
  </si>
  <si>
    <t>GN 9287-12</t>
  </si>
  <si>
    <t xml:space="preserve">ROYALHOOD </t>
  </si>
  <si>
    <t>GN 4848-20</t>
  </si>
  <si>
    <t xml:space="preserve">OKOMACC </t>
  </si>
  <si>
    <t>GC 7564-11</t>
  </si>
  <si>
    <t>GN 8921-17</t>
  </si>
  <si>
    <t>OMC</t>
  </si>
  <si>
    <t>NENSER PET</t>
  </si>
  <si>
    <t xml:space="preserve">LA CLEM </t>
  </si>
  <si>
    <t>OILTRADE</t>
  </si>
  <si>
    <t>OIL CHANNEL</t>
  </si>
  <si>
    <t>GT 5746-11</t>
  </si>
  <si>
    <t>QUANTUM PETROLEUM LIMITED</t>
  </si>
  <si>
    <t>EVERSTONE ENERGY</t>
  </si>
  <si>
    <t>GT 1305-Y</t>
  </si>
  <si>
    <t>EXCEL OIL</t>
  </si>
  <si>
    <t>GM 2513-13</t>
  </si>
  <si>
    <t>GN  5974-17</t>
  </si>
  <si>
    <t>RELIANCE OIL</t>
  </si>
  <si>
    <t>SAGE DISTRIBUTION LIMITED</t>
  </si>
  <si>
    <t>PACIFIC OIL</t>
  </si>
  <si>
    <t>ENGEN GHANA LTD</t>
  </si>
  <si>
    <t>DUKES PETROLEUM</t>
  </si>
  <si>
    <t>ER 504-13</t>
  </si>
  <si>
    <t>GN 6479-17</t>
  </si>
  <si>
    <t>GM 894-15</t>
  </si>
  <si>
    <t>GN 4194 -21</t>
  </si>
  <si>
    <t>GB OIL LIMITED</t>
  </si>
  <si>
    <t>KINGS ENERGY</t>
  </si>
  <si>
    <t>GN 5601-17</t>
  </si>
  <si>
    <t>MISYL ENERGY CO LTD</t>
  </si>
  <si>
    <t>NICK PETROLEUM</t>
  </si>
  <si>
    <t>JK 9171-21</t>
  </si>
  <si>
    <t>J.K NARH</t>
  </si>
  <si>
    <t xml:space="preserve"> VIHAMA </t>
  </si>
  <si>
    <t xml:space="preserve">EAGLE TRANSPORT </t>
  </si>
  <si>
    <t xml:space="preserve">LIDA </t>
  </si>
  <si>
    <t>CR 8050-12</t>
  </si>
  <si>
    <t xml:space="preserve">KTC </t>
  </si>
  <si>
    <t>GT 245-11</t>
  </si>
  <si>
    <t>GT 7202-21</t>
  </si>
  <si>
    <t xml:space="preserve">IDEAS LOGISTICS </t>
  </si>
  <si>
    <t>ROCOMENS</t>
  </si>
  <si>
    <t>GS 9499-20</t>
  </si>
  <si>
    <t xml:space="preserve">SADICK </t>
  </si>
  <si>
    <t>SASCO</t>
  </si>
  <si>
    <t>GW 8039-12</t>
  </si>
  <si>
    <t>GN 806-13</t>
  </si>
  <si>
    <t>BEGODS</t>
  </si>
  <si>
    <t>GE 9181-13</t>
  </si>
  <si>
    <t>GREEN HAULAGE</t>
  </si>
  <si>
    <t xml:space="preserve">OKODATT </t>
  </si>
  <si>
    <t>GE 5870-19</t>
  </si>
  <si>
    <t>EDMOND'S TRUCKING</t>
  </si>
  <si>
    <t>GE 5199-12</t>
  </si>
  <si>
    <t>GT 6199-12</t>
  </si>
  <si>
    <t>GT 9964-18</t>
  </si>
  <si>
    <t xml:space="preserve">LE FORTS  </t>
  </si>
  <si>
    <t>GT 2093-14</t>
  </si>
  <si>
    <t>A-BEK</t>
  </si>
  <si>
    <t>GN 392-13</t>
  </si>
  <si>
    <t xml:space="preserve">BROKEN ARROW </t>
  </si>
  <si>
    <t>GT 8199-18</t>
  </si>
  <si>
    <t>AC 1544-19</t>
  </si>
  <si>
    <t>GE 4279-14</t>
  </si>
  <si>
    <t>GW 8746-13</t>
  </si>
  <si>
    <t>WR 1818-10</t>
  </si>
  <si>
    <t>GT 4600-13</t>
  </si>
  <si>
    <t>GC 8804-12</t>
  </si>
  <si>
    <t>VIHAMA ENERGY LIMITED</t>
  </si>
  <si>
    <t>INFIN GHANA LIMITED</t>
  </si>
  <si>
    <t>SNT 8039-15</t>
  </si>
  <si>
    <t>GM 961-13</t>
  </si>
  <si>
    <t xml:space="preserve">DODO LOGISTICS </t>
  </si>
  <si>
    <t>GG 8590-22</t>
  </si>
  <si>
    <t>GN 2205-21</t>
  </si>
  <si>
    <t>SUPERKORNE</t>
  </si>
  <si>
    <t>GN 2772-20</t>
  </si>
  <si>
    <t>GT 4631 -19</t>
  </si>
  <si>
    <t>GOENERGY</t>
  </si>
  <si>
    <t>SNT 8041 -17</t>
  </si>
  <si>
    <t>GC 7567-11</t>
  </si>
  <si>
    <t>GX 3316-14</t>
  </si>
  <si>
    <t>GT 5368-22</t>
  </si>
  <si>
    <t>WR 1738 Y</t>
  </si>
  <si>
    <t>GT 2416-20</t>
  </si>
  <si>
    <t>GAB ENERGY LIMITED</t>
  </si>
  <si>
    <t>HALFAST</t>
  </si>
  <si>
    <t>GN 5193-14</t>
  </si>
  <si>
    <t>GT 8033-Z</t>
  </si>
  <si>
    <t>E.M.B VENTURES</t>
  </si>
  <si>
    <t>JUST GRACE LOGISTICS</t>
  </si>
  <si>
    <t>HIGHGATE</t>
  </si>
  <si>
    <t>CR 8046-12</t>
  </si>
  <si>
    <t>MENSAH TRUCKS</t>
  </si>
  <si>
    <t>GT 8035-Z</t>
  </si>
  <si>
    <t>GN 440-21</t>
  </si>
  <si>
    <t>GOIL</t>
  </si>
  <si>
    <t>SAYON ENERGY</t>
  </si>
  <si>
    <t>GT 1851 U</t>
  </si>
  <si>
    <t>BA 9698 -22</t>
  </si>
  <si>
    <t>PUMA ENERGY</t>
  </si>
  <si>
    <t>GN 234-15</t>
  </si>
  <si>
    <t>GT 7303-22</t>
  </si>
  <si>
    <t>GT 8043-11</t>
  </si>
  <si>
    <t>GT 8901-17</t>
  </si>
  <si>
    <t>GS 6376-21</t>
  </si>
  <si>
    <t>GN 9198-19</t>
  </si>
  <si>
    <t>CR 8059-12</t>
  </si>
  <si>
    <t>GE 6316 -10</t>
  </si>
  <si>
    <t>EVERSTONE</t>
  </si>
  <si>
    <t>ALFAPETRO</t>
  </si>
  <si>
    <t>OIL-SPACE</t>
  </si>
  <si>
    <t>GE 2801-17</t>
  </si>
  <si>
    <t>GT 3513-22</t>
  </si>
  <si>
    <t>GE 189-20</t>
  </si>
  <si>
    <t>GW 7974-10</t>
  </si>
  <si>
    <t>GN 8983-15</t>
  </si>
  <si>
    <t>TEL ENERGY</t>
  </si>
  <si>
    <t>AS 4973-20</t>
  </si>
  <si>
    <t>AS 9393-16</t>
  </si>
  <si>
    <t>GT 3078-11</t>
  </si>
  <si>
    <t>C.E.O OIL</t>
  </si>
  <si>
    <t>GT 5451-19</t>
  </si>
  <si>
    <t>GM 2511-13</t>
  </si>
  <si>
    <t>R&amp;P OIL</t>
  </si>
  <si>
    <t>VIVO ENERGY</t>
  </si>
  <si>
    <t>AS 4368-17</t>
  </si>
  <si>
    <t>GM 9277-13</t>
  </si>
  <si>
    <t>GT 7226 -22</t>
  </si>
  <si>
    <t>GS 5984-09</t>
  </si>
  <si>
    <t xml:space="preserve">HALLWORT </t>
  </si>
  <si>
    <t>AW 2417-12</t>
  </si>
  <si>
    <t xml:space="preserve">KOFI OWUSU </t>
  </si>
  <si>
    <t>POMENS</t>
  </si>
  <si>
    <t>GT 3944 Y</t>
  </si>
  <si>
    <t>GN 6616-19</t>
  </si>
  <si>
    <t>ASTRA OIL</t>
  </si>
  <si>
    <t>ZEN PETROLEUM</t>
  </si>
  <si>
    <t>VR 8031-12</t>
  </si>
  <si>
    <t>GN 6136-18</t>
  </si>
  <si>
    <t>GT 6073-19</t>
  </si>
  <si>
    <t>GN 5237-21</t>
  </si>
  <si>
    <t>GT 9798-21</t>
  </si>
  <si>
    <t>GT 7202-20</t>
  </si>
  <si>
    <t>COLLINS AC</t>
  </si>
  <si>
    <t>GN 2567-10</t>
  </si>
  <si>
    <t>GT 3493-21</t>
  </si>
  <si>
    <t>GN 804-13</t>
  </si>
  <si>
    <t>GS 3908-11</t>
  </si>
  <si>
    <t>GT 7534-11</t>
  </si>
  <si>
    <t xml:space="preserve">BRALE </t>
  </si>
  <si>
    <t>CR 8049-12</t>
  </si>
  <si>
    <t>GM 2255-12</t>
  </si>
  <si>
    <t>AW 9898-11</t>
  </si>
  <si>
    <t>ANNING BONSU</t>
  </si>
  <si>
    <t>BENKO</t>
  </si>
  <si>
    <t xml:space="preserve">ALINCO OIL </t>
  </si>
  <si>
    <t>SO ENERGY</t>
  </si>
  <si>
    <t>KINGSPERP OIL LIMITED</t>
  </si>
  <si>
    <t>GR 2896 C</t>
  </si>
  <si>
    <t>GS 9932-13</t>
  </si>
  <si>
    <t>GT 8096-21</t>
  </si>
  <si>
    <t>GN 3789-21</t>
  </si>
  <si>
    <t>GN 5199-09</t>
  </si>
  <si>
    <t>MOBIK ENERGY</t>
  </si>
  <si>
    <t xml:space="preserve">SPADEOFF </t>
  </si>
  <si>
    <t>GN 9569 -12</t>
  </si>
  <si>
    <t>AC 1368 -15</t>
  </si>
  <si>
    <t>GT 5875-19</t>
  </si>
  <si>
    <t>GN 4480-17</t>
  </si>
  <si>
    <t xml:space="preserve">LUCKY OIL </t>
  </si>
  <si>
    <t>GT 1819-22</t>
  </si>
  <si>
    <t>AS 7948-19</t>
  </si>
  <si>
    <t>CR 2374-C</t>
  </si>
  <si>
    <t>YASS PETROLEUM</t>
  </si>
  <si>
    <t>GB 634-21</t>
  </si>
  <si>
    <t>GT 1931-14</t>
  </si>
  <si>
    <t>No remarks</t>
  </si>
  <si>
    <t>GN 398 -13</t>
  </si>
  <si>
    <t>GR 3335-10</t>
  </si>
  <si>
    <t>GN 379-13</t>
  </si>
  <si>
    <t>STRATEGIC ENERGIES LIMTED</t>
  </si>
  <si>
    <t>GR 3938 H</t>
  </si>
  <si>
    <t>WR 3240-13</t>
  </si>
  <si>
    <t>GN 4823 -17</t>
  </si>
  <si>
    <t>GN 8887-17</t>
  </si>
  <si>
    <t>SO ENERGY GH LIMITED</t>
  </si>
  <si>
    <t>GN 9895-11</t>
  </si>
  <si>
    <t>RADIANCE PETROLEUM</t>
  </si>
  <si>
    <t>GT 4923 -13</t>
  </si>
  <si>
    <t>GG 5062-21</t>
  </si>
  <si>
    <t>GC 7565-11</t>
  </si>
  <si>
    <t>GT 6000-19</t>
  </si>
  <si>
    <t>GT 97-20</t>
  </si>
  <si>
    <t>GT 91-20</t>
  </si>
  <si>
    <t>GN 9644-19</t>
  </si>
  <si>
    <t>UE 9644-21</t>
  </si>
  <si>
    <t>JK 9172-21</t>
  </si>
  <si>
    <t>GT 7053-18</t>
  </si>
  <si>
    <t>GN 4902- 17</t>
  </si>
  <si>
    <t>GN 7807 Z</t>
  </si>
  <si>
    <t>GT 1258 -20</t>
  </si>
  <si>
    <t>AW 2723-13</t>
  </si>
  <si>
    <t>GT 6581-18</t>
  </si>
  <si>
    <t>AW 786-20</t>
  </si>
  <si>
    <t>GN 898-18</t>
  </si>
  <si>
    <t>GT 5748-11</t>
  </si>
  <si>
    <t>ER 450-14</t>
  </si>
  <si>
    <t xml:space="preserve">KAB II </t>
  </si>
  <si>
    <t>AS 6429 -21</t>
  </si>
  <si>
    <t>GN 9644-20</t>
  </si>
  <si>
    <t>GN 97 -20</t>
  </si>
  <si>
    <t>GT 3569 -13</t>
  </si>
  <si>
    <t>GW 3571 -16</t>
  </si>
  <si>
    <t>FIRM ENERGY</t>
  </si>
  <si>
    <t>JUSBRO PET</t>
  </si>
  <si>
    <t>BRENT PETROLEUM LIMITED</t>
  </si>
  <si>
    <t>GN 4034-11</t>
  </si>
  <si>
    <t>GT 8693 -12</t>
  </si>
  <si>
    <t>TOTAL</t>
  </si>
  <si>
    <t>BEAP ENERGY GHANA LIMITED</t>
  </si>
  <si>
    <t>GN 832-14</t>
  </si>
  <si>
    <t>GN 9562 -12</t>
  </si>
  <si>
    <t>GT 5504-20</t>
  </si>
  <si>
    <t>GT 3764-22</t>
  </si>
  <si>
    <t>GN 8004-21</t>
  </si>
  <si>
    <t>GT 695-18</t>
  </si>
  <si>
    <t>GN 2514 -18</t>
  </si>
  <si>
    <t>BLUE OCEAN</t>
  </si>
  <si>
    <t>WR 2036-11</t>
  </si>
  <si>
    <t>GT 3568 -18</t>
  </si>
  <si>
    <t>GN 2852-17</t>
  </si>
  <si>
    <t>A-JA GLOBAL</t>
  </si>
  <si>
    <t>GT 3734-18</t>
  </si>
  <si>
    <t>GS 5192-17</t>
  </si>
  <si>
    <t>GT 5351-11</t>
  </si>
  <si>
    <t>GT 1886 -22</t>
  </si>
  <si>
    <t>GC 7568-11</t>
  </si>
  <si>
    <t>VR 5050-21</t>
  </si>
  <si>
    <t>GR 7559 X</t>
  </si>
  <si>
    <t>GM 1228 -21</t>
  </si>
  <si>
    <t>GT 3074-11</t>
  </si>
  <si>
    <t xml:space="preserve"> MARANATHA </t>
  </si>
  <si>
    <t>GT 8003-21</t>
  </si>
  <si>
    <t>GM 1128-14</t>
  </si>
  <si>
    <t>GC 7563-11</t>
  </si>
  <si>
    <t>ALINCO OIL</t>
  </si>
  <si>
    <t>GN 8883-12</t>
  </si>
  <si>
    <t>MEAS</t>
  </si>
  <si>
    <t>GT 7926-11</t>
  </si>
  <si>
    <t>Gp1(below 1hr)</t>
  </si>
  <si>
    <t>Gp2(1hr -1.15hr)</t>
  </si>
  <si>
    <t>Gp3(1:15hr - 1:30hr)</t>
  </si>
  <si>
    <t>Gp4(1:30hr - 1:45hr)</t>
  </si>
  <si>
    <t>Gp5(1:45hr-2hr)</t>
  </si>
  <si>
    <t>Gp6(2hr-2:15hr)</t>
  </si>
  <si>
    <t>Gp7(2:15hr-2:30hr)</t>
  </si>
  <si>
    <t>Gp8(2:30hr-2:45hr)</t>
  </si>
  <si>
    <t>Gp9(2:45hr -3:00hr)</t>
  </si>
  <si>
    <t>Gp10(Above 3:00hr)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</si>
  <si>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</si>
  <si>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</si>
  <si>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</si>
  <si>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</si>
  <si>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</si>
  <si>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</si>
  <si>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</si>
  <si>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</si>
  <si>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</si>
  <si>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</si>
  <si>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GT 8913-20</t>
  </si>
  <si>
    <t>GT 5648 -18</t>
  </si>
  <si>
    <t>GE 4127- 20</t>
  </si>
  <si>
    <t>VIGGO ENERGY LTD</t>
  </si>
  <si>
    <t>Note</t>
  </si>
  <si>
    <t>GB 2754-12</t>
  </si>
  <si>
    <t>WR 3126-12</t>
  </si>
  <si>
    <t>GT 8275-22</t>
  </si>
  <si>
    <t>GW 482 -10</t>
  </si>
  <si>
    <t>GN 9644-18</t>
  </si>
  <si>
    <t>GN 8039-18</t>
  </si>
  <si>
    <t>GN 999-20</t>
  </si>
  <si>
    <t>GT 6136 Q</t>
  </si>
  <si>
    <t>GT 7987-10</t>
  </si>
  <si>
    <t>AS 5046-16</t>
  </si>
  <si>
    <t>GT 7224-22</t>
  </si>
  <si>
    <t>GC 5074-10</t>
  </si>
  <si>
    <t>GM 2512-13</t>
  </si>
  <si>
    <t>GS 5102-19</t>
  </si>
  <si>
    <t>CR 747 R</t>
  </si>
  <si>
    <t>STAR OIL CO. LTD</t>
  </si>
  <si>
    <t>GR 8341-15</t>
  </si>
  <si>
    <t>GT 9161-17</t>
  </si>
  <si>
    <t>GT 4621-20</t>
  </si>
  <si>
    <t>INTERNATIONAL PETROLEUM RESOURCES GH</t>
  </si>
  <si>
    <t>GT 8882-21</t>
  </si>
  <si>
    <t>AS 7780-14</t>
  </si>
  <si>
    <t>GT 2950-21</t>
  </si>
  <si>
    <t>Analysis 1: Percentage of PASS &amp; FAILURES</t>
  </si>
  <si>
    <t>CR</t>
  </si>
  <si>
    <t>BPD</t>
  </si>
  <si>
    <t>DD</t>
  </si>
  <si>
    <t>SLA</t>
  </si>
  <si>
    <t>Analysis 2: 15 Minutes Time Differencial</t>
  </si>
  <si>
    <t>Analysis 3: Challenge Register (CR)</t>
  </si>
  <si>
    <t>RID</t>
  </si>
  <si>
    <t>NID</t>
  </si>
  <si>
    <t>GID</t>
  </si>
  <si>
    <t>TID</t>
  </si>
  <si>
    <t>BID</t>
  </si>
  <si>
    <t>BBD</t>
  </si>
  <si>
    <t>PD</t>
  </si>
  <si>
    <t>PDR</t>
  </si>
  <si>
    <t>GPD</t>
  </si>
  <si>
    <t>Single Loading Arm Delay</t>
  </si>
  <si>
    <t>Rock Africa Internet Delay</t>
  </si>
  <si>
    <t>NTL Internet Delay</t>
  </si>
  <si>
    <t>GRA Internet Delay</t>
  </si>
  <si>
    <t>TSL Internet Delay</t>
  </si>
  <si>
    <t xml:space="preserve">BOST Internet Delay </t>
  </si>
  <si>
    <t>BRV Breakdown Delay</t>
  </si>
  <si>
    <t>Personnel Delay (NTL,BOST,TSL or GRA)</t>
  </si>
  <si>
    <t>Personnel Delay (Rock Africa)</t>
  </si>
  <si>
    <t>Dipping Platform/Documentation Delay</t>
  </si>
  <si>
    <t>BRV Personnel Delay</t>
  </si>
  <si>
    <t>GRA Personnel Delay</t>
  </si>
  <si>
    <t>GT 5760-19</t>
  </si>
  <si>
    <t>CROWN PETROLEUM GH. LTD</t>
  </si>
  <si>
    <t>GT 5455 -19</t>
  </si>
  <si>
    <t>GN 5804-12</t>
  </si>
  <si>
    <t>GN 2476 -14</t>
  </si>
  <si>
    <t>AW 8317-13</t>
  </si>
  <si>
    <t>GC 4037-21</t>
  </si>
  <si>
    <t>SOTEI ENERGY</t>
  </si>
  <si>
    <t>GT 9704-11</t>
  </si>
  <si>
    <t>CR 53 V</t>
  </si>
  <si>
    <t>JOA</t>
  </si>
  <si>
    <t>Justifiable Operational Activity</t>
  </si>
  <si>
    <t>ALLIED OIL COMPANY LIMITED</t>
  </si>
  <si>
    <t>GW 1121 Z</t>
  </si>
  <si>
    <t>GW 9421-X</t>
  </si>
  <si>
    <t>RESTON ENERGY</t>
  </si>
  <si>
    <t>OIL CHANNEL LIMITED</t>
  </si>
  <si>
    <t>GT 7707-20</t>
  </si>
  <si>
    <t>EVERSTONE ENERGY LIMITED</t>
  </si>
  <si>
    <t>GR 2264 -21</t>
  </si>
  <si>
    <t>GT 4315 -15</t>
  </si>
  <si>
    <t>GN 9570 -12</t>
  </si>
  <si>
    <t>GN 3953-14</t>
  </si>
  <si>
    <t>GE 8884 -17</t>
  </si>
  <si>
    <t>GN 6490-22</t>
  </si>
  <si>
    <t>GN 6496-22</t>
  </si>
  <si>
    <t>GM 5067-12</t>
  </si>
  <si>
    <t xml:space="preserve">GN 9567 -12 </t>
  </si>
  <si>
    <t>GP 2739</t>
  </si>
  <si>
    <t>GT 98 - 20</t>
  </si>
  <si>
    <t>GN 9568 - 12</t>
  </si>
  <si>
    <t>MAXX ENERGY LIMITED</t>
  </si>
  <si>
    <t>GN 6499 -22</t>
  </si>
  <si>
    <t>GL 648-13</t>
  </si>
  <si>
    <t>RICHAM FARMS</t>
  </si>
  <si>
    <t>GR 1491-12</t>
  </si>
  <si>
    <t>GR 7182-15</t>
  </si>
  <si>
    <t>GN 5959 -21</t>
  </si>
  <si>
    <t>KABORE OIL LIMITED</t>
  </si>
  <si>
    <t>GT 6507 V</t>
  </si>
  <si>
    <t>GASO PET</t>
  </si>
  <si>
    <t>AW 9631-13</t>
  </si>
  <si>
    <t>GAT OIL</t>
  </si>
  <si>
    <t>AC 1788-20</t>
  </si>
  <si>
    <t>GT 5234 -14</t>
  </si>
  <si>
    <t>HUSS PETROLEUM</t>
  </si>
  <si>
    <t>GN 91-20</t>
  </si>
  <si>
    <t>VEROS PETROLEUM LIMITED</t>
  </si>
  <si>
    <t>GOIL COMPANY LIMITED</t>
  </si>
  <si>
    <t>GN 90 -20</t>
  </si>
  <si>
    <t>GT 7932-12</t>
  </si>
  <si>
    <t>GT 5117 X</t>
  </si>
  <si>
    <t>GN 8221-11</t>
  </si>
  <si>
    <t>WEST PORT PETROLEUM LIMITED</t>
  </si>
  <si>
    <t>R 999-20</t>
  </si>
  <si>
    <t>GN 4351-19</t>
  </si>
  <si>
    <t>GN 6486- 22</t>
  </si>
  <si>
    <t>GG 7988-15</t>
  </si>
  <si>
    <t>GT 1372-20</t>
  </si>
  <si>
    <t>GT 6357-18</t>
  </si>
  <si>
    <t>GN 2228-22</t>
  </si>
  <si>
    <t>GR 5786-19</t>
  </si>
  <si>
    <t>WR 1148 U</t>
  </si>
  <si>
    <t>GT 92-22</t>
  </si>
  <si>
    <t>GE 5344-22</t>
  </si>
  <si>
    <t>GN 4334-13</t>
  </si>
  <si>
    <t>GT 8072-22</t>
  </si>
  <si>
    <t>GW 3759-14</t>
  </si>
  <si>
    <t>GR 7384-22</t>
  </si>
  <si>
    <t>GN 5959-21</t>
  </si>
  <si>
    <t>GT 8643-16</t>
  </si>
  <si>
    <t>AGAPET LIMITED COMPANY</t>
  </si>
  <si>
    <t>GE 8881-17</t>
  </si>
  <si>
    <t>GLOBAL STANDARD PETROLEUM LIMITED</t>
  </si>
  <si>
    <t>MARIAJE LINX INVESTMENT LIMITED</t>
  </si>
  <si>
    <t>COMPASS OLEUM LIMITED</t>
  </si>
  <si>
    <t>MM ENERGY LIMITED</t>
  </si>
  <si>
    <t>GN 3528-19</t>
  </si>
  <si>
    <t>ER 4791 X</t>
  </si>
  <si>
    <t>RELIANCE OIL LIMITED</t>
  </si>
  <si>
    <t>GC 9026-11</t>
  </si>
  <si>
    <t>GW 8761-13</t>
  </si>
  <si>
    <t>GT 7059-13</t>
  </si>
  <si>
    <t>GN 28-22</t>
  </si>
  <si>
    <t>WR 1738 -Y</t>
  </si>
  <si>
    <t>BOST (G4O)</t>
  </si>
  <si>
    <t>OILFAST</t>
  </si>
  <si>
    <t>GN 8115-20</t>
  </si>
  <si>
    <t>KADMILLS</t>
  </si>
  <si>
    <t>GLOBEX ENERGY LTD</t>
  </si>
  <si>
    <t>EX OIL</t>
  </si>
  <si>
    <t>GN 5729-20</t>
  </si>
  <si>
    <t>GENYSIS GLOBAL LIMITED</t>
  </si>
  <si>
    <t>GN 8114-20</t>
  </si>
  <si>
    <t>GN 564- 12</t>
  </si>
  <si>
    <t>GN 7534-13</t>
  </si>
  <si>
    <t>GT 6091-12</t>
  </si>
  <si>
    <t>GT 8697-12</t>
  </si>
  <si>
    <t>GS 645-11</t>
  </si>
  <si>
    <t>GT 4445 -23</t>
  </si>
  <si>
    <t>GT 8494-18</t>
  </si>
  <si>
    <t>GT 4283-23</t>
  </si>
  <si>
    <t>GT 9556-15</t>
  </si>
  <si>
    <t>WOOODFIELDS ENERGY RESOURCES ENERGY LIMITED</t>
  </si>
  <si>
    <t>GS 3516-17</t>
  </si>
  <si>
    <t>AW 1617-21</t>
  </si>
  <si>
    <t>PETRONAX ENERGY LIMITED</t>
  </si>
  <si>
    <t>RUNEL OIL LIMITED</t>
  </si>
  <si>
    <t>BUFFALO OIL COMPANY LIMITED</t>
  </si>
  <si>
    <t>GT 7528-16</t>
  </si>
  <si>
    <t>GT 4727 -12</t>
  </si>
  <si>
    <t>GM 1106-15</t>
  </si>
  <si>
    <t>GN 4547 -19</t>
  </si>
  <si>
    <t>GN 6371 -22</t>
  </si>
  <si>
    <t>LIBERTY PETROLEUM LIMITED</t>
  </si>
  <si>
    <t>GT 6370 Z</t>
  </si>
  <si>
    <t>MOS-ALAB</t>
  </si>
  <si>
    <t>GR 6009-22</t>
  </si>
  <si>
    <t xml:space="preserve">JAYDILL </t>
  </si>
  <si>
    <t>GT 4010-21</t>
  </si>
  <si>
    <t>AS 429-E</t>
  </si>
  <si>
    <t>GT 5010 - 22</t>
  </si>
  <si>
    <t>GX 837-21</t>
  </si>
  <si>
    <t>GC 5693-11</t>
  </si>
  <si>
    <t>GN 1906-16</t>
  </si>
  <si>
    <t>JK 923-23</t>
  </si>
  <si>
    <t>GE 7759-16</t>
  </si>
  <si>
    <t>GT 6803-13</t>
  </si>
  <si>
    <t>GM 2510 -13</t>
  </si>
  <si>
    <t>GN 1087-20</t>
  </si>
  <si>
    <t>GRA Delay</t>
  </si>
  <si>
    <t>GD</t>
  </si>
  <si>
    <t>NTL Delay</t>
  </si>
  <si>
    <t>ND</t>
  </si>
  <si>
    <t xml:space="preserve">BOST Delay </t>
  </si>
  <si>
    <t>BD</t>
  </si>
  <si>
    <t>TSL Delay</t>
  </si>
  <si>
    <t>TD</t>
  </si>
  <si>
    <t>GRA Sealing Delay</t>
  </si>
  <si>
    <t>GSD</t>
  </si>
  <si>
    <t>Rock Africa Internet/Seal Delay</t>
  </si>
  <si>
    <t>RISD</t>
  </si>
  <si>
    <t>GR 5572-23</t>
  </si>
  <si>
    <t>HUSS PET</t>
  </si>
  <si>
    <t>GN 1485-21</t>
  </si>
  <si>
    <t>GT 6330-19</t>
  </si>
  <si>
    <t>GT 8439-22</t>
  </si>
  <si>
    <t>GT 9042-18</t>
  </si>
  <si>
    <t>FAMOUS ENERGY LIMITED</t>
  </si>
  <si>
    <t>GN 5741 -21</t>
  </si>
  <si>
    <t>GN3879-15</t>
  </si>
  <si>
    <t>GE 5264-23</t>
  </si>
  <si>
    <t xml:space="preserve">EBONY OIL </t>
  </si>
  <si>
    <t>GT 9320 -20</t>
  </si>
  <si>
    <t>GR 3258 P</t>
  </si>
  <si>
    <t xml:space="preserve">CR 1707-18 </t>
  </si>
  <si>
    <t>VR 8034-12</t>
  </si>
  <si>
    <t xml:space="preserve">GR 1685 -16 </t>
  </si>
  <si>
    <t>WR 152-13</t>
  </si>
  <si>
    <t>LOADING 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</si>
</sst>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h:mm;@"/>
    <numFmt numFmtId="168" formatCode="h&quot;hr(s)&quot;\ mm&quot;min(s)&quot;;@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0" tint="-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164" fontId="18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</cellStyleXfs>
  <cellXfs count="123">
    <xf numFmtId="0" fontId="0" fillId="0" borderId="0" xfId="0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0" fontId="9" fillId="3" borderId="0" xfId="0" applyFont="1" applyFill="1" applyAlignment="1">
      <alignment horizontal="center"/>
    </xf>
    <xf numFmtId="20" fontId="8" fillId="3" borderId="0" xfId="0" applyNumberFormat="1" applyFont="1" applyFill="1" applyAlignment="1">
      <alignment horizontal="center"/>
    </xf>
    <xf numFmtId="20" fontId="8" fillId="0" borderId="0" xfId="0" applyNumberFormat="1" applyFont="1" applyAlignment="1">
      <alignment horizontal="center"/>
    </xf>
    <xf numFmtId="166" fontId="8" fillId="3" borderId="0" xfId="1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0" fontId="6" fillId="0" borderId="3" xfId="0" applyNumberFormat="1" applyFont="1" applyBorder="1" applyAlignment="1">
      <alignment horizontal="center" vertical="center"/>
    </xf>
    <xf numFmtId="167" fontId="6" fillId="4" borderId="3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2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167" fontId="6" fillId="6" borderId="3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6" fillId="5" borderId="3" xfId="0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center"/>
    </xf>
    <xf numFmtId="168" fontId="0" fillId="0" borderId="3" xfId="0" applyNumberFormat="1" applyBorder="1" applyAlignment="1">
      <alignment horizontal="center"/>
    </xf>
    <xf numFmtId="168" fontId="16" fillId="0" borderId="3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5" borderId="6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20" fontId="6" fillId="4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20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167" fontId="22" fillId="4" borderId="3" xfId="0" applyNumberFormat="1" applyFont="1" applyFill="1" applyBorder="1" applyAlignment="1">
      <alignment horizontal="center" vertical="center"/>
    </xf>
    <xf numFmtId="167" fontId="23" fillId="9" borderId="3" xfId="0" applyNumberFormat="1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67" fontId="24" fillId="4" borderId="3" xfId="0" applyNumberFormat="1" applyFont="1" applyFill="1" applyBorder="1" applyAlignment="1">
      <alignment horizontal="center" vertical="center"/>
    </xf>
    <xf numFmtId="167" fontId="17" fillId="4" borderId="3" xfId="0" applyNumberFormat="1" applyFont="1" applyFill="1" applyBorder="1" applyAlignment="1">
      <alignment horizontal="center" vertical="center"/>
    </xf>
    <xf numFmtId="0" fontId="4" fillId="0" borderId="0" xfId="2" applyAlignment="1">
      <alignment horizontal="center"/>
    </xf>
    <xf numFmtId="0" fontId="8" fillId="0" borderId="0" xfId="2" applyFont="1" applyAlignment="1">
      <alignment horizontal="center"/>
    </xf>
    <xf numFmtId="0" fontId="9" fillId="0" borderId="3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8" fillId="2" borderId="0" xfId="2" applyFont="1" applyFill="1" applyAlignment="1">
      <alignment horizontal="center"/>
    </xf>
    <xf numFmtId="0" fontId="4" fillId="2" borderId="0" xfId="2" applyFill="1" applyAlignment="1">
      <alignment horizontal="center"/>
    </xf>
    <xf numFmtId="0" fontId="11" fillId="2" borderId="0" xfId="2" applyFont="1" applyFill="1" applyAlignment="1">
      <alignment horizontal="center"/>
    </xf>
    <xf numFmtId="167" fontId="6" fillId="2" borderId="3" xfId="2" applyNumberFormat="1" applyFont="1" applyFill="1" applyBorder="1" applyAlignment="1">
      <alignment horizontal="center" vertical="center"/>
    </xf>
    <xf numFmtId="165" fontId="8" fillId="0" borderId="0" xfId="2" applyNumberFormat="1" applyFont="1" applyAlignment="1">
      <alignment horizontal="center"/>
    </xf>
    <xf numFmtId="0" fontId="12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0" fontId="14" fillId="0" borderId="0" xfId="2" applyFont="1" applyAlignment="1">
      <alignment horizontal="center"/>
    </xf>
    <xf numFmtId="168" fontId="4" fillId="0" borderId="0" xfId="2" applyNumberFormat="1" applyAlignment="1">
      <alignment horizontal="center"/>
    </xf>
    <xf numFmtId="0" fontId="9" fillId="9" borderId="0" xfId="2" applyFont="1" applyFill="1" applyAlignment="1">
      <alignment horizontal="center"/>
    </xf>
    <xf numFmtId="20" fontId="8" fillId="9" borderId="0" xfId="2" applyNumberFormat="1" applyFont="1" applyFill="1" applyAlignment="1">
      <alignment horizontal="center"/>
    </xf>
    <xf numFmtId="20" fontId="8" fillId="0" borderId="0" xfId="2" applyNumberFormat="1" applyFont="1" applyAlignment="1">
      <alignment horizontal="center"/>
    </xf>
    <xf numFmtId="166" fontId="8" fillId="9" borderId="0" xfId="3" applyNumberFormat="1" applyFont="1" applyFill="1" applyBorder="1" applyAlignment="1">
      <alignment horizontal="center"/>
    </xf>
    <xf numFmtId="0" fontId="15" fillId="0" borderId="0" xfId="2" applyFont="1" applyAlignment="1">
      <alignment horizontal="center"/>
    </xf>
    <xf numFmtId="0" fontId="16" fillId="0" borderId="0" xfId="2" applyFont="1" applyAlignment="1">
      <alignment horizontal="left" vertical="center"/>
    </xf>
    <xf numFmtId="0" fontId="10" fillId="9" borderId="1" xfId="2" applyFont="1" applyFill="1" applyBorder="1" applyAlignment="1">
      <alignment horizontal="center" vertical="center"/>
    </xf>
    <xf numFmtId="0" fontId="9" fillId="9" borderId="2" xfId="2" applyFont="1" applyFill="1" applyBorder="1" applyAlignment="1">
      <alignment horizontal="center" vertical="center"/>
    </xf>
    <xf numFmtId="0" fontId="9" fillId="9" borderId="3" xfId="2" applyFont="1" applyFill="1" applyBorder="1" applyAlignment="1">
      <alignment horizontal="center" vertical="center"/>
    </xf>
    <xf numFmtId="0" fontId="10" fillId="9" borderId="3" xfId="2" applyFont="1" applyFill="1" applyBorder="1" applyAlignment="1">
      <alignment horizontal="center" vertical="center"/>
    </xf>
    <xf numFmtId="0" fontId="10" fillId="9" borderId="2" xfId="2" applyFont="1" applyFill="1" applyBorder="1" applyAlignment="1">
      <alignment horizontal="center" vertical="center"/>
    </xf>
    <xf numFmtId="0" fontId="10" fillId="9" borderId="4" xfId="2" applyFont="1" applyFill="1" applyBorder="1" applyAlignment="1">
      <alignment horizontal="center" vertical="center"/>
    </xf>
    <xf numFmtId="0" fontId="4" fillId="0" borderId="5" xfId="2" applyBorder="1" applyAlignment="1">
      <alignment horizontal="center"/>
    </xf>
    <xf numFmtId="0" fontId="16" fillId="5" borderId="3" xfId="2" applyFont="1" applyFill="1" applyBorder="1" applyAlignment="1">
      <alignment horizontal="center"/>
    </xf>
    <xf numFmtId="0" fontId="4" fillId="0" borderId="3" xfId="2" applyBorder="1" applyAlignment="1">
      <alignment horizontal="center"/>
    </xf>
    <xf numFmtId="0" fontId="4" fillId="7" borderId="3" xfId="2" applyFill="1" applyBorder="1" applyAlignment="1">
      <alignment horizontal="center"/>
    </xf>
    <xf numFmtId="168" fontId="4" fillId="0" borderId="3" xfId="2" applyNumberFormat="1" applyBorder="1" applyAlignment="1">
      <alignment horizontal="center"/>
    </xf>
    <xf numFmtId="0" fontId="4" fillId="8" borderId="3" xfId="2" applyFill="1" applyBorder="1" applyAlignment="1">
      <alignment horizontal="center"/>
    </xf>
    <xf numFmtId="0" fontId="16" fillId="0" borderId="3" xfId="2" applyFont="1" applyBorder="1" applyAlignment="1">
      <alignment horizontal="center"/>
    </xf>
    <xf numFmtId="168" fontId="16" fillId="0" borderId="3" xfId="2" applyNumberFormat="1" applyFont="1" applyBorder="1" applyAlignment="1">
      <alignment horizontal="center"/>
    </xf>
    <xf numFmtId="0" fontId="6" fillId="0" borderId="0" xfId="2" applyFont="1" applyAlignment="1">
      <alignment horizontal="center"/>
    </xf>
    <xf numFmtId="0" fontId="10" fillId="0" borderId="3" xfId="2" applyFont="1" applyBorder="1" applyAlignment="1">
      <alignment horizontal="center"/>
    </xf>
    <xf numFmtId="0" fontId="10" fillId="0" borderId="0" xfId="2" applyFont="1" applyAlignment="1">
      <alignment horizontal="left" vertical="center"/>
    </xf>
    <xf numFmtId="0" fontId="16" fillId="0" borderId="6" xfId="2" applyFont="1" applyBorder="1" applyAlignment="1">
      <alignment horizontal="center"/>
    </xf>
    <xf numFmtId="0" fontId="4" fillId="0" borderId="0" xfId="2" applyAlignment="1">
      <alignment horizontal="center" vertical="center"/>
    </xf>
    <xf numFmtId="0" fontId="16" fillId="5" borderId="3" xfId="2" applyFont="1" applyFill="1" applyBorder="1" applyAlignment="1">
      <alignment horizontal="center" vertical="center" wrapText="1"/>
    </xf>
    <xf numFmtId="0" fontId="16" fillId="5" borderId="6" xfId="2" applyFont="1" applyFill="1" applyBorder="1" applyAlignment="1">
      <alignment horizontal="center" vertical="center" wrapText="1"/>
    </xf>
    <xf numFmtId="0" fontId="4" fillId="0" borderId="6" xfId="2" applyBorder="1" applyAlignment="1">
      <alignment horizontal="center"/>
    </xf>
    <xf numFmtId="0" fontId="7" fillId="0" borderId="0" xfId="2" applyFont="1" applyAlignment="1">
      <alignment horizontal="center"/>
    </xf>
    <xf numFmtId="0" fontId="4" fillId="0" borderId="0" xfId="2"/>
    <xf numFmtId="0" fontId="16" fillId="0" borderId="0" xfId="2" applyFont="1" applyAlignment="1">
      <alignment horizontal="left"/>
    </xf>
    <xf numFmtId="0" fontId="4" fillId="0" borderId="0" xfId="2" applyAlignment="1">
      <alignment horizontal="left"/>
    </xf>
    <xf numFmtId="20" fontId="4" fillId="0" borderId="0" xfId="2" applyNumberFormat="1" applyAlignment="1">
      <alignment horizontal="center"/>
    </xf>
    <xf numFmtId="0" fontId="3" fillId="0" borderId="0" xfId="2" applyFont="1" applyAlignment="1">
      <alignment horizontal="left"/>
    </xf>
    <xf numFmtId="167" fontId="17" fillId="4" borderId="3" xfId="2" applyNumberFormat="1" applyFont="1" applyFill="1" applyBorder="1" applyAlignment="1">
      <alignment horizontal="center" vertical="center"/>
    </xf>
    <xf numFmtId="167" fontId="17" fillId="6" borderId="3" xfId="2" applyNumberFormat="1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167" fontId="17" fillId="0" borderId="3" xfId="0" applyNumberFormat="1" applyFont="1" applyBorder="1" applyAlignment="1">
      <alignment horizontal="center" vertical="center"/>
    </xf>
    <xf numFmtId="167" fontId="6" fillId="6" borderId="3" xfId="2" applyNumberFormat="1" applyFont="1" applyFill="1" applyBorder="1" applyAlignment="1">
      <alignment horizontal="center" vertical="center"/>
    </xf>
    <xf numFmtId="167" fontId="9" fillId="10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</cellXfs>
  <cellStyles count="4">
    <cellStyle name="Comma" xfId="1" builtinId="3"/>
    <cellStyle name="Comma 2" xfId="3" xr:uid="{5DCAF176-3ED6-4EBC-8D63-30D14D501B47}"/>
    <cellStyle name="Normal" xfId="0" builtinId="0"/>
    <cellStyle name="Normal 2" xfId="2" xr:uid="{210B2334-D36C-440D-856B-D2079D8AC2E6}"/>
  </cellStyles>
  <dxfs count="76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7" formatCode="h:mm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bgColor theme="4" tint="0.5999938962981048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bgColor theme="4" tint="0.5999938962981048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7" formatCode="h:mm;@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numFmt numFmtId="25" formatCode="h:mm"/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7" formatCode="h:mm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bgColor theme="4" tint="0.5999938962981048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bgColor theme="4" tint="0.5999938962981048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7" formatCode="h:mm;@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numFmt numFmtId="25" formatCode="h:mm"/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h:mm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4" tint="0.3999450666829432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4" tint="0.3999450666829432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7" formatCode="h:mm;@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h:mm;@"/>
      <fill>
        <patternFill patternType="solid">
          <fgColor indexed="64"/>
          <bgColor theme="4" tint="0.3999450666829432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Calibri"/>
        <family val="2"/>
        <scheme val="none"/>
      </font>
      <numFmt numFmtId="167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numFmt numFmtId="25" formatCode="h:mm"/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7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Number of BRV(s) in % (Passed/ Failed)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'31.05.2025     '!$P$5</c:f>
              <c:strCache>
                <c:ptCount val="1"/>
                <c:pt idx="0">
                  <c:v>Number of BRV(s)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F209-4DCE-BB97-98FEF43F210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F209-4DCE-BB97-98FEF43F21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'31.05.2025     '!$O$6:$O$7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'31.05.2025     '!$P$6:$P$7</c:f>
              <c:numCache>
                <c:formatCode>General</c:formatCode>
                <c:ptCount val="2"/>
                <c:pt idx="0">
                  <c:v>41</c:v>
                </c:pt>
                <c:pt idx="1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09-4DCE-BB97-98FEF43F2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Analysis for 15mins Time Difference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'31.05.2025     '!$O$34:$X$35</c:f>
              <c:multiLvlStrCache>
                <c:ptCount val="10"/>
                <c:lvl>
                  <c:pt idx="0">
                    <c:v>x1</c:v>
                  </c:pt>
                  <c:pt idx="1">
                    <c:v>x2</c:v>
                  </c:pt>
                  <c:pt idx="2">
                    <c:v>x3</c:v>
                  </c:pt>
                  <c:pt idx="3">
                    <c:v>x4</c:v>
                  </c:pt>
                  <c:pt idx="4">
                    <c:v>x5</c:v>
                  </c:pt>
                  <c:pt idx="5">
                    <c:v>x6</c:v>
                  </c:pt>
                  <c:pt idx="6">
                    <c:v>x7</c:v>
                  </c:pt>
                  <c:pt idx="7">
                    <c:v>x8</c:v>
                  </c:pt>
                  <c:pt idx="8">
                    <c:v>x9</c:v>
                  </c:pt>
                  <c:pt idx="9">
                    <c:v>x10</c:v>
                  </c:pt>
                </c:lvl>
                <c:lvl>
                  <c:pt idx="0">
                    <c:v>Gp1(below 1hr)</c:v>
                  </c:pt>
                  <c:pt idx="1">
                    <c:v>Gp2(1hr -1.15hr)</c:v>
                  </c:pt>
                  <c:pt idx="2">
                    <c:v>Gp3(1:15hr - 1:30hr)</c:v>
                  </c:pt>
                  <c:pt idx="3">
                    <c:v>Gp4(1:30hr - 1:45hr)</c:v>
                  </c:pt>
                  <c:pt idx="4">
                    <c:v>Gp5(1:45hr-2hr)</c:v>
                  </c:pt>
                  <c:pt idx="5">
                    <c:v>Gp6(2hr-2:15hr)</c:v>
                  </c:pt>
                  <c:pt idx="6">
                    <c:v>Gp7(2:15hr-2:30hr)</c:v>
                  </c:pt>
                  <c:pt idx="7">
                    <c:v>Gp8(2:30hr-2:45hr)</c:v>
                  </c:pt>
                  <c:pt idx="8">
                    <c:v>Gp9(2:45hr -3:00hr)</c:v>
                  </c:pt>
                  <c:pt idx="9">
                    <c:v>Gp10(Above 3:00hr)</c:v>
                  </c:pt>
                </c:lvl>
              </c:multiLvlStrCache>
            </c:multiLvlStrRef>
          </c:cat>
          <c:val>
            <c:numRef>
              <c:f>'31.05.2025     '!$O$36:$X$36</c:f>
              <c:numCache>
                <c:formatCode>General</c:formatCode>
                <c:ptCount val="10"/>
                <c:pt idx="0">
                  <c:v>12</c:v>
                </c:pt>
                <c:pt idx="1">
                  <c:v>30</c:v>
                </c:pt>
                <c:pt idx="2">
                  <c:v>46</c:v>
                </c:pt>
                <c:pt idx="3">
                  <c:v>44</c:v>
                </c:pt>
                <c:pt idx="4">
                  <c:v>26</c:v>
                </c:pt>
                <c:pt idx="5">
                  <c:v>26</c:v>
                </c:pt>
                <c:pt idx="6">
                  <c:v>19</c:v>
                </c:pt>
                <c:pt idx="7">
                  <c:v>10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F-4FD2-90C4-555E5A0944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8704672"/>
        <c:axId val="818685472"/>
      </c:barChart>
      <c:catAx>
        <c:axId val="8187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685472"/>
        <c:crosses val="autoZero"/>
        <c:auto val="1"/>
        <c:lblAlgn val="ctr"/>
        <c:lblOffset val="100"/>
        <c:noMultiLvlLbl val="0"/>
      </c:catAx>
      <c:valAx>
        <c:axId val="818685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870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Challenge</a:t>
            </a:r>
            <a:r>
              <a:rPr lang="en-US" sz="2000" b="1" baseline="0"/>
              <a:t> Register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'31.05.2025     '!$O$63:$AB$63</c:f>
              <c:strCache>
                <c:ptCount val="14"/>
                <c:pt idx="0">
                  <c:v>Single Loading Arm Delay</c:v>
                </c:pt>
                <c:pt idx="1">
                  <c:v>Rock Africa Internet/Seal Delay</c:v>
                </c:pt>
                <c:pt idx="2">
                  <c:v>NTL Delay</c:v>
                </c:pt>
                <c:pt idx="3">
                  <c:v>GRA Delay</c:v>
                </c:pt>
                <c:pt idx="4">
                  <c:v>TSL Delay</c:v>
                </c:pt>
                <c:pt idx="5">
                  <c:v>BOST Delay </c:v>
                </c:pt>
                <c:pt idx="6">
                  <c:v>BRV Breakdown Delay</c:v>
                </c:pt>
                <c:pt idx="7">
                  <c:v>Personnel Delay (NTL,BOST,TSL or GRA)</c:v>
                </c:pt>
                <c:pt idx="8">
                  <c:v>Personnel Delay (Rock Africa)</c:v>
                </c:pt>
                <c:pt idx="9">
                  <c:v>Dipping Platform/Documentation Delay</c:v>
                </c:pt>
                <c:pt idx="10">
                  <c:v>BRV Personnel Delay</c:v>
                </c:pt>
                <c:pt idx="11">
                  <c:v>GRA Personnel Delay</c:v>
                </c:pt>
                <c:pt idx="12">
                  <c:v>GRA Sealing Delay</c:v>
                </c:pt>
                <c:pt idx="13">
                  <c:v>Justifiable Operational Activity</c:v>
                </c:pt>
              </c:strCache>
            </c:strRef>
          </c:cat>
          <c:val>
            <c:numRef>
              <c:f>'31.05.2025     '!$O$64:$AB$64</c:f>
              <c:numCache>
                <c:formatCode>General</c:formatCode>
                <c:ptCount val="14"/>
                <c:pt idx="0">
                  <c:v>25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1-4C61-BBEF-5468A4F61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470342799"/>
        <c:axId val="470359599"/>
      </c:barChart>
      <c:catAx>
        <c:axId val="47034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59599"/>
        <c:crosses val="autoZero"/>
        <c:auto val="1"/>
        <c:lblAlgn val="ctr"/>
        <c:lblOffset val="100"/>
        <c:noMultiLvlLbl val="0"/>
      </c:catAx>
      <c:valAx>
        <c:axId val="470359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034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Number of BRV(s) in % (Passed/ Failed)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'03.05.2023 '!$P$5</c:f>
              <c:strCache>
                <c:ptCount val="1"/>
                <c:pt idx="0">
                  <c:v>Number of BRV(s)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7B04-48F2-BCA2-0D66F7E5B96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7B04-48F2-BCA2-0D66F7E5B9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'03.05.2023 '!$O$6:$O$7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'03.05.2023 '!$P$6:$P$7</c:f>
              <c:numCache>
                <c:formatCode>General</c:formatCode>
                <c:ptCount val="2"/>
                <c:pt idx="0">
                  <c:v>23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04-48F2-BCA2-0D66F7E5B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Analysis for 15mins Time Difference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'03.05.2023 '!$O$34:$X$35</c:f>
              <c:multiLvlStrCache>
                <c:ptCount val="10"/>
                <c:lvl>
                  <c:pt idx="0">
                    <c:v>x1</c:v>
                  </c:pt>
                  <c:pt idx="1">
                    <c:v>x2</c:v>
                  </c:pt>
                  <c:pt idx="2">
                    <c:v>x3</c:v>
                  </c:pt>
                  <c:pt idx="3">
                    <c:v>x4</c:v>
                  </c:pt>
                  <c:pt idx="4">
                    <c:v>x5</c:v>
                  </c:pt>
                  <c:pt idx="5">
                    <c:v>x6</c:v>
                  </c:pt>
                  <c:pt idx="6">
                    <c:v>x7</c:v>
                  </c:pt>
                  <c:pt idx="7">
                    <c:v>x8</c:v>
                  </c:pt>
                  <c:pt idx="8">
                    <c:v>x9</c:v>
                  </c:pt>
                  <c:pt idx="9">
                    <c:v>x10</c:v>
                  </c:pt>
                </c:lvl>
                <c:lvl>
                  <c:pt idx="0">
                    <c:v>Gp1(below 1hr)</c:v>
                  </c:pt>
                  <c:pt idx="1">
                    <c:v>Gp2(1hr -1.15hr)</c:v>
                  </c:pt>
                  <c:pt idx="2">
                    <c:v>Gp3(1:15hr - 1:30hr)</c:v>
                  </c:pt>
                  <c:pt idx="3">
                    <c:v>Gp4(1:30hr - 1:45hr)</c:v>
                  </c:pt>
                  <c:pt idx="4">
                    <c:v>Gp5(1:45hr-2hr)</c:v>
                  </c:pt>
                  <c:pt idx="5">
                    <c:v>Gp6(2hr-2:15hr)</c:v>
                  </c:pt>
                  <c:pt idx="6">
                    <c:v>Gp7(2:15hr-2:30hr)</c:v>
                  </c:pt>
                  <c:pt idx="7">
                    <c:v>Gp8(2:30hr-2:45hr)</c:v>
                  </c:pt>
                  <c:pt idx="8">
                    <c:v>Gp9(2:45hr -3:00hr)</c:v>
                  </c:pt>
                  <c:pt idx="9">
                    <c:v>Gp10(Above 3:00hr)</c:v>
                  </c:pt>
                </c:lvl>
              </c:multiLvlStrCache>
            </c:multiLvlStrRef>
          </c:cat>
          <c:val>
            <c:numRef>
              <c:f>'03.05.2023 '!$O$36:$X$36</c:f>
              <c:numCache>
                <c:formatCode>General</c:formatCode>
                <c:ptCount val="10"/>
                <c:pt idx="0">
                  <c:v>6</c:v>
                </c:pt>
                <c:pt idx="1">
                  <c:v>9</c:v>
                </c:pt>
                <c:pt idx="2">
                  <c:v>31</c:v>
                </c:pt>
                <c:pt idx="3">
                  <c:v>19</c:v>
                </c:pt>
                <c:pt idx="4">
                  <c:v>17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9-4D22-A3D9-D9AC2B8696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8704672"/>
        <c:axId val="818685472"/>
      </c:barChart>
      <c:catAx>
        <c:axId val="8187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685472"/>
        <c:crosses val="autoZero"/>
        <c:auto val="1"/>
        <c:lblAlgn val="ctr"/>
        <c:lblOffset val="100"/>
        <c:noMultiLvlLbl val="0"/>
      </c:catAx>
      <c:valAx>
        <c:axId val="818685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870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Challenge</a:t>
            </a:r>
            <a:r>
              <a:rPr lang="en-US" sz="2000" b="1" baseline="0"/>
              <a:t> Register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'03.05.2023 '!$O$63:$AA$63</c:f>
              <c:strCache>
                <c:ptCount val="13"/>
                <c:pt idx="0">
                  <c:v>Single Loading Arm Delay</c:v>
                </c:pt>
                <c:pt idx="1">
                  <c:v>Rock Africa Internet Delay</c:v>
                </c:pt>
                <c:pt idx="2">
                  <c:v>NTL Internet Delay</c:v>
                </c:pt>
                <c:pt idx="3">
                  <c:v>GRA Internet Delay</c:v>
                </c:pt>
                <c:pt idx="4">
                  <c:v>TSL Internet Delay</c:v>
                </c:pt>
                <c:pt idx="5">
                  <c:v>BOST Internet Delay </c:v>
                </c:pt>
                <c:pt idx="6">
                  <c:v>BRV Breakdown Delay</c:v>
                </c:pt>
                <c:pt idx="7">
                  <c:v>Personnel Delay (NTL,BOST,TSL or GRA)</c:v>
                </c:pt>
                <c:pt idx="8">
                  <c:v>Personnel Delay (Rock Africa)</c:v>
                </c:pt>
                <c:pt idx="9">
                  <c:v>Dipping Platform/Documentation Delay</c:v>
                </c:pt>
                <c:pt idx="10">
                  <c:v>BRV Personnel Delay</c:v>
                </c:pt>
                <c:pt idx="11">
                  <c:v>GRA Personnel Delay</c:v>
                </c:pt>
                <c:pt idx="12">
                  <c:v>Justifiable Operational Activity</c:v>
                </c:pt>
              </c:strCache>
            </c:strRef>
          </c:cat>
          <c:val>
            <c:numRef>
              <c:f>'03.05.2023 '!$O$64:$AA$64</c:f>
              <c:numCache>
                <c:formatCode>General</c:formatCode>
                <c:ptCount val="13"/>
                <c:pt idx="0">
                  <c:v>12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3-428B-BA31-A9BAF00F1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470342799"/>
        <c:axId val="470359599"/>
      </c:barChart>
      <c:catAx>
        <c:axId val="47034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59599"/>
        <c:crosses val="autoZero"/>
        <c:auto val="1"/>
        <c:lblAlgn val="ctr"/>
        <c:lblOffset val="100"/>
        <c:noMultiLvlLbl val="0"/>
      </c:catAx>
      <c:valAx>
        <c:axId val="470359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034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Number of BRV(s) in % (Passed/ Failed)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'03.05.2023  (2)'!$P$5</c:f>
              <c:strCache>
                <c:ptCount val="1"/>
                <c:pt idx="0">
                  <c:v>Number of BRV(s)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61F2-446E-9BC5-026416B0AAAF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61F2-446E-9BC5-026416B0AA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'03.05.2023  (2)'!$O$6:$O$7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'03.05.2023  (2)'!$P$6:$P$7</c:f>
              <c:numCache>
                <c:formatCode>General</c:formatCode>
                <c:ptCount val="2"/>
                <c:pt idx="0">
                  <c:v>23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F2-446E-9BC5-026416B0A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Analysis for 15mins Time Difference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'03.05.2023  (2)'!$O$34:$X$35</c:f>
              <c:multiLvlStrCache>
                <c:ptCount val="10"/>
                <c:lvl>
                  <c:pt idx="0">
                    <c:v>x1</c:v>
                  </c:pt>
                  <c:pt idx="1">
                    <c:v>x2</c:v>
                  </c:pt>
                  <c:pt idx="2">
                    <c:v>x3</c:v>
                  </c:pt>
                  <c:pt idx="3">
                    <c:v>x4</c:v>
                  </c:pt>
                  <c:pt idx="4">
                    <c:v>x5</c:v>
                  </c:pt>
                  <c:pt idx="5">
                    <c:v>x6</c:v>
                  </c:pt>
                  <c:pt idx="6">
                    <c:v>x7</c:v>
                  </c:pt>
                  <c:pt idx="7">
                    <c:v>x8</c:v>
                  </c:pt>
                  <c:pt idx="8">
                    <c:v>x9</c:v>
                  </c:pt>
                  <c:pt idx="9">
                    <c:v>x10</c:v>
                  </c:pt>
                </c:lvl>
                <c:lvl>
                  <c:pt idx="0">
                    <c:v>Gp1(below 1hr)</c:v>
                  </c:pt>
                  <c:pt idx="1">
                    <c:v>Gp2(1hr -1.15hr)</c:v>
                  </c:pt>
                  <c:pt idx="2">
                    <c:v>Gp3(1:15hr - 1:30hr)</c:v>
                  </c:pt>
                  <c:pt idx="3">
                    <c:v>Gp4(1:30hr - 1:45hr)</c:v>
                  </c:pt>
                  <c:pt idx="4">
                    <c:v>Gp5(1:45hr-2hr)</c:v>
                  </c:pt>
                  <c:pt idx="5">
                    <c:v>Gp6(2hr-2:15hr)</c:v>
                  </c:pt>
                  <c:pt idx="6">
                    <c:v>Gp7(2:15hr-2:30hr)</c:v>
                  </c:pt>
                  <c:pt idx="7">
                    <c:v>Gp8(2:30hr-2:45hr)</c:v>
                  </c:pt>
                  <c:pt idx="8">
                    <c:v>Gp9(2:45hr -3:00hr)</c:v>
                  </c:pt>
                  <c:pt idx="9">
                    <c:v>Gp10(Above 3:00hr)</c:v>
                  </c:pt>
                </c:lvl>
              </c:multiLvlStrCache>
            </c:multiLvlStrRef>
          </c:cat>
          <c:val>
            <c:numRef>
              <c:f>'03.05.2023  (2)'!$O$36:$X$36</c:f>
              <c:numCache>
                <c:formatCode>General</c:formatCode>
                <c:ptCount val="10"/>
                <c:pt idx="0">
                  <c:v>6</c:v>
                </c:pt>
                <c:pt idx="1">
                  <c:v>9</c:v>
                </c:pt>
                <c:pt idx="2">
                  <c:v>31</c:v>
                </c:pt>
                <c:pt idx="3">
                  <c:v>19</c:v>
                </c:pt>
                <c:pt idx="4">
                  <c:v>17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5-4581-99B4-B724AF916C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8704672"/>
        <c:axId val="818685472"/>
      </c:barChart>
      <c:catAx>
        <c:axId val="8187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685472"/>
        <c:crosses val="autoZero"/>
        <c:auto val="1"/>
        <c:lblAlgn val="ctr"/>
        <c:lblOffset val="100"/>
        <c:noMultiLvlLbl val="0"/>
      </c:catAx>
      <c:valAx>
        <c:axId val="818685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870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Challenge</a:t>
            </a:r>
            <a:r>
              <a:rPr lang="en-US" sz="2000" b="1" baseline="0"/>
              <a:t> Register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'03.05.2023  (2)'!$O$63:$AA$63</c:f>
              <c:strCache>
                <c:ptCount val="13"/>
                <c:pt idx="0">
                  <c:v>Single Loading Arm Delay</c:v>
                </c:pt>
                <c:pt idx="1">
                  <c:v>Rock Africa Internet Delay</c:v>
                </c:pt>
                <c:pt idx="2">
                  <c:v>NTL Internet Delay</c:v>
                </c:pt>
                <c:pt idx="3">
                  <c:v>GRA Internet Delay</c:v>
                </c:pt>
                <c:pt idx="4">
                  <c:v>TSL Internet Delay</c:v>
                </c:pt>
                <c:pt idx="5">
                  <c:v>BOST Internet Delay </c:v>
                </c:pt>
                <c:pt idx="6">
                  <c:v>BRV Breakdown Delay</c:v>
                </c:pt>
                <c:pt idx="7">
                  <c:v>Personnel Delay (NTL,BOST,TSL or GRA)</c:v>
                </c:pt>
                <c:pt idx="8">
                  <c:v>Personnel Delay (Rock Africa)</c:v>
                </c:pt>
                <c:pt idx="9">
                  <c:v>Dipping Platform/Documentation Delay</c:v>
                </c:pt>
                <c:pt idx="10">
                  <c:v>BRV Personnel Delay</c:v>
                </c:pt>
                <c:pt idx="11">
                  <c:v>GRA Personnel Delay</c:v>
                </c:pt>
                <c:pt idx="12">
                  <c:v>Justifiable Operational Activity</c:v>
                </c:pt>
              </c:strCache>
            </c:strRef>
          </c:cat>
          <c:val>
            <c:numRef>
              <c:f>'03.05.2023  (2)'!$O$64:$AA$64</c:f>
              <c:numCache>
                <c:formatCode>General</c:formatCode>
                <c:ptCount val="13"/>
                <c:pt idx="0">
                  <c:v>12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D-46F9-8CFC-0F0409225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470342799"/>
        <c:axId val="470359599"/>
      </c:barChart>
      <c:catAx>
        <c:axId val="47034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59599"/>
        <c:crosses val="autoZero"/>
        <c:auto val="1"/>
        <c:lblAlgn val="ctr"/>
        <c:lblOffset val="100"/>
        <c:noMultiLvlLbl val="0"/>
      </c:catAx>
      <c:valAx>
        <c:axId val="470359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034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9699</xdr:colOff>
      <xdr:row>9</xdr:row>
      <xdr:rowOff>116379</xdr:rowOff>
    </xdr:from>
    <xdr:to>
      <xdr:col>21</xdr:col>
      <xdr:colOff>1334539</xdr:colOff>
      <xdr:row>29</xdr:row>
      <xdr:rowOff>135254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B54E5-29F1-415D-920E-0B421ED00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3080</xdr:colOff>
      <xdr:row>37</xdr:row>
      <xdr:rowOff>100869</xdr:rowOff>
    </xdr:from>
    <xdr:to>
      <xdr:col>23</xdr:col>
      <xdr:colOff>772408</xdr:colOff>
      <xdr:row>59</xdr:row>
      <xdr:rowOff>14490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F8BDF7-A9E6-4825-96BC-6EB2883BF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9616</xdr:colOff>
      <xdr:row>65</xdr:row>
      <xdr:rowOff>146362</xdr:rowOff>
    </xdr:from>
    <xdr:to>
      <xdr:col>23</xdr:col>
      <xdr:colOff>1554227</xdr:colOff>
      <xdr:row>98</xdr:row>
      <xdr:rowOff>89461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83011A-655F-4D00-83E5-CC196DAC8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17319</xdr:colOff>
      <xdr:row>9</xdr:row>
      <xdr:rowOff>48597</xdr:rowOff>
    </xdr:from>
    <xdr:to>
      <xdr:col>21</xdr:col>
      <xdr:colOff>1342159</xdr:colOff>
      <xdr:row>30</xdr:row>
      <xdr:rowOff>18875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4E8F6-140D-4384-B4C4-31EE19910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23133</xdr:colOff>
      <xdr:row>37</xdr:row>
      <xdr:rowOff>100869</xdr:rowOff>
    </xdr:from>
    <xdr:to>
      <xdr:col>23</xdr:col>
      <xdr:colOff>792461</xdr:colOff>
      <xdr:row>59</xdr:row>
      <xdr:rowOff>14490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1A5469-84BD-4DB4-8F90-E80519206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9616</xdr:colOff>
      <xdr:row>65</xdr:row>
      <xdr:rowOff>146362</xdr:rowOff>
    </xdr:from>
    <xdr:to>
      <xdr:col>23</xdr:col>
      <xdr:colOff>1554227</xdr:colOff>
      <xdr:row>98</xdr:row>
      <xdr:rowOff>89461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9660AA-6077-4A8E-AB7E-7D3162703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17319</xdr:colOff>
      <xdr:row>9</xdr:row>
      <xdr:rowOff>48597</xdr:rowOff>
    </xdr:from>
    <xdr:to>
      <xdr:col>21</xdr:col>
      <xdr:colOff>1342159</xdr:colOff>
      <xdr:row>30</xdr:row>
      <xdr:rowOff>18875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2408B-AF90-47A4-8E1A-6D108CAED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23133</xdr:colOff>
      <xdr:row>37</xdr:row>
      <xdr:rowOff>100869</xdr:rowOff>
    </xdr:from>
    <xdr:to>
      <xdr:col>23</xdr:col>
      <xdr:colOff>792461</xdr:colOff>
      <xdr:row>59</xdr:row>
      <xdr:rowOff>14490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426527-2D1F-42AA-B5C1-F921EDECC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9616</xdr:colOff>
      <xdr:row>65</xdr:row>
      <xdr:rowOff>146362</xdr:rowOff>
    </xdr:from>
    <xdr:to>
      <xdr:col>23</xdr:col>
      <xdr:colOff>1554227</xdr:colOff>
      <xdr:row>98</xdr:row>
      <xdr:rowOff>89461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76209A-6270-420C-ADC5-579D834F7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manuel.mensah\Downloads\BOST-KSI-1655369187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ST-KSI-1655369187"/>
    </sheetNames>
    <sheetDataSet>
      <sheetData sheetId="0">
        <row r="2">
          <cell r="C2" t="str">
            <v>GM 7047-13</v>
          </cell>
        </row>
        <row r="3">
          <cell r="C3" t="str">
            <v>GT 4961-13</v>
          </cell>
        </row>
        <row r="4">
          <cell r="C4" t="str">
            <v>GS 4721-22</v>
          </cell>
        </row>
        <row r="5">
          <cell r="C5" t="str">
            <v>GN 5721 -20</v>
          </cell>
        </row>
        <row r="6">
          <cell r="C6" t="str">
            <v>GT 4752-21</v>
          </cell>
        </row>
        <row r="7">
          <cell r="C7" t="str">
            <v>GB 3240-20</v>
          </cell>
        </row>
        <row r="8">
          <cell r="C8" t="str">
            <v>GT 3835 -13</v>
          </cell>
        </row>
        <row r="9">
          <cell r="C9" t="str">
            <v>GN 3997-10</v>
          </cell>
        </row>
        <row r="10">
          <cell r="C10" t="str">
            <v>GT 6883 Z</v>
          </cell>
        </row>
        <row r="11">
          <cell r="C11" t="str">
            <v>GN 3789-21</v>
          </cell>
        </row>
        <row r="12">
          <cell r="C12" t="str">
            <v>GS 271 -14</v>
          </cell>
        </row>
        <row r="13">
          <cell r="C13" t="str">
            <v>GT 8366-14</v>
          </cell>
        </row>
        <row r="14">
          <cell r="C14" t="str">
            <v>FO 2-17</v>
          </cell>
        </row>
        <row r="15">
          <cell r="C15" t="str">
            <v>GT 5422 Z</v>
          </cell>
        </row>
        <row r="16">
          <cell r="C16" t="str">
            <v>GT 1850 U</v>
          </cell>
        </row>
        <row r="17">
          <cell r="C17" t="str">
            <v>GS 5192-17</v>
          </cell>
        </row>
        <row r="18">
          <cell r="C18" t="str">
            <v>GN 5799-20</v>
          </cell>
        </row>
        <row r="19">
          <cell r="C19" t="str">
            <v>GM 893 -15</v>
          </cell>
        </row>
        <row r="20">
          <cell r="C20" t="str">
            <v>GR 6210 L</v>
          </cell>
        </row>
        <row r="21">
          <cell r="C21" t="str">
            <v>GN 1051 -21</v>
          </cell>
        </row>
        <row r="22">
          <cell r="C22" t="str">
            <v>GN 6751 -13</v>
          </cell>
        </row>
        <row r="23">
          <cell r="C23" t="str">
            <v>GT 718-21</v>
          </cell>
        </row>
        <row r="24">
          <cell r="C24" t="str">
            <v>GE 805 -10</v>
          </cell>
        </row>
        <row r="25">
          <cell r="C25" t="str">
            <v>GT 4480 -21</v>
          </cell>
        </row>
        <row r="26">
          <cell r="C26" t="str">
            <v>GT 7220 -22</v>
          </cell>
        </row>
        <row r="27">
          <cell r="C27" t="str">
            <v>GM 3983-13</v>
          </cell>
        </row>
        <row r="28">
          <cell r="C28" t="str">
            <v>GT 9456 X</v>
          </cell>
        </row>
        <row r="29">
          <cell r="C29" t="str">
            <v>GS 5193 -17</v>
          </cell>
        </row>
        <row r="30">
          <cell r="C30" t="str">
            <v>GN 4295 -20</v>
          </cell>
        </row>
        <row r="31">
          <cell r="C31" t="str">
            <v>GN 1052 -21</v>
          </cell>
        </row>
        <row r="32">
          <cell r="C32" t="str">
            <v>GT 5923-15</v>
          </cell>
        </row>
        <row r="33">
          <cell r="C33" t="str">
            <v>GT 6508 V</v>
          </cell>
        </row>
        <row r="34">
          <cell r="C34" t="str">
            <v>AS 172 -12</v>
          </cell>
        </row>
        <row r="35">
          <cell r="C35" t="str">
            <v>GN 3590 Z</v>
          </cell>
        </row>
        <row r="36">
          <cell r="C36" t="str">
            <v>AS 7780-13</v>
          </cell>
        </row>
        <row r="37">
          <cell r="C37" t="str">
            <v>GT 3485-21</v>
          </cell>
        </row>
        <row r="38">
          <cell r="C38" t="str">
            <v>GR 7990 -16</v>
          </cell>
        </row>
        <row r="39">
          <cell r="C39" t="str">
            <v>AC 1368 -15</v>
          </cell>
        </row>
        <row r="40">
          <cell r="C40" t="str">
            <v>GR 3938 H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0730FBCB-1E30-4926-8493-FFFA1D4E72F0}" name="May19_2023258261263262264265266267268" displayName="May19_2023258261263262264265266267268" ref="A5:M224" totalsRowCount="1">
  <autoFilter ref="A5:M223" xr:uid="{00000000-0009-0000-0100-0000F2000000}"/>
  <sortState xmlns:xlrd2="http://schemas.microsoft.com/office/spreadsheetml/2017/richdata2" ref="A6:M16">
    <sortCondition ref="F5:F15"/>
  </sortState>
  <tableColumns count="13">
    <tableColumn id="1" xr3:uid="{B62D5933-240C-4173-A674-6709D762BD2F}" name="ITEM" dataDxfId="75" totalsRowDxfId="74"/>
    <tableColumn id="11" xr3:uid="{8D615E23-1189-4D4D-8404-BD6285BF5CDE}" name="BOST/ OMC" dataDxfId="73" totalsRowDxfId="72"/>
    <tableColumn id="2" xr3:uid="{A09CCC4F-B26C-4380-9CF5-246CB62C00EA}" name="BRV #" dataDxfId="71" totalsRowDxfId="70"/>
    <tableColumn id="3" xr3:uid="{24A95039-73CB-437E-8D47-A91F21F29D0A}" name="BDC" dataDxfId="69" totalsRowDxfId="68"/>
    <tableColumn id="4" xr3:uid="{A733F909-FB85-4E1D-B848-089EF7B7C6F2}" name="TRANSPORTER" dataDxfId="67" totalsRowDxfId="66"/>
    <tableColumn id="5" xr3:uid="{398E5EEC-8372-4C2C-8D50-60FA01F2E49B}" name="PRODUCT" dataDxfId="65" totalsRowDxfId="64"/>
    <tableColumn id="6" xr3:uid="{EBE3A864-8D3C-4CC4-A6B0-B0E31ED65706}" name="CAPACITY" dataDxfId="63" totalsRowDxfId="62"/>
    <tableColumn id="7" xr3:uid="{BBC45CA9-A4D4-474D-8DD3-3D1B7A335C5C}" name="TIME IN" dataDxfId="61" totalsRowDxfId="60" dataCellStyle="Normal 2"/>
    <tableColumn id="8" xr3:uid="{10620945-8D7B-4B4A-B582-D837E8D93401}" name="TIME OUT" dataDxfId="59" totalsRowDxfId="58" dataCellStyle="Normal 2"/>
    <tableColumn id="9" xr3:uid="{2BA255C1-F250-48F5-B709-79096CA27DB8}" name="TAT " totalsRowFunction="average" dataDxfId="57" totalsRowDxfId="56">
      <calculatedColumnFormula>I6-H6</calculatedColumnFormula>
    </tableColumn>
    <tableColumn id="10" xr3:uid="{B334ECF4-484F-46C7-9B3D-06A0AD80026E}" name="REMARKS" dataDxfId="55" totalsRowDxfId="54">
      <calculatedColumnFormula>IF(G6&lt;$H$3,"No Remarks",IF(AND(G6&gt;=$H$3,J6&lt;=$D$3),"Passed","Failed"))</calculatedColumnFormula>
    </tableColumn>
    <tableColumn id="12" xr3:uid="{286D4857-C966-4C7D-BDF0-1584D8F48AD0}" name="MEAS" dataDxfId="53" totalsRowDxfId="52">
      <calculatedColumnFormula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calculatedColumnFormula>
    </tableColumn>
    <tableColumn id="13" xr3:uid="{75E7857C-9A14-448B-A0D9-904D6CFF51EB}" name="CR" dataDxfId="51" totalsRowDxfId="5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FFF537FE-1455-4FF9-A9B4-8E568C890D31}" name="April28_2023244" displayName="April28_2023244" ref="A5:M96" totalsRowCount="1">
  <autoFilter ref="A5:M95" xr:uid="{00000000-0009-0000-0100-0000F2000000}"/>
  <sortState xmlns:xlrd2="http://schemas.microsoft.com/office/spreadsheetml/2017/richdata2" ref="A6:M16">
    <sortCondition ref="F5:F15"/>
  </sortState>
  <tableColumns count="13">
    <tableColumn id="1" xr3:uid="{16E72FCF-D436-4316-B793-E5CA0AAF36EA}" name="ITEM" dataDxfId="49" totalsRowDxfId="48"/>
    <tableColumn id="11" xr3:uid="{6F1CA02C-C5CC-48A8-AB45-22CE2D2BB777}" name="BOST/ OMC" totalsRowLabel="TOTAL" dataDxfId="47" totalsRowDxfId="46"/>
    <tableColumn id="2" xr3:uid="{EFF6AA64-50A7-46FB-8FBD-D6B642F6644D}" name="BRV #" dataDxfId="45" totalsRowDxfId="44"/>
    <tableColumn id="3" xr3:uid="{24AC23F3-33EB-49A2-BCFA-9DFF016239CE}" name="BDC" dataDxfId="43" totalsRowDxfId="42"/>
    <tableColumn id="4" xr3:uid="{6E678DBA-61F9-4A10-952C-EA7E0DB853FB}" name="TRANSPORTER" dataDxfId="41" totalsRowDxfId="40"/>
    <tableColumn id="5" xr3:uid="{3565D3CB-E2F0-4E4B-96B7-21C043E14F18}" name="PRODUCT" dataDxfId="39" totalsRowDxfId="38"/>
    <tableColumn id="6" xr3:uid="{2632C301-7391-4DF5-A9A8-B4731CB3EDA2}" name="CAPACITY" dataDxfId="37" totalsRowDxfId="36"/>
    <tableColumn id="7" xr3:uid="{067FF091-B20A-44EF-AF5B-EA1AF4DF0789}" name="TIME IN" dataDxfId="35" totalsRowDxfId="34"/>
    <tableColumn id="8" xr3:uid="{A1936ECD-A9E1-4B7B-9C1D-0BFF2A670235}" name="TIME OUT" dataDxfId="33" totalsRowDxfId="32"/>
    <tableColumn id="9" xr3:uid="{8815BDEB-B56E-4352-A181-FAF4D936136A}" name="TAT " totalsRowFunction="average" totalsRowDxfId="31">
      <calculatedColumnFormula>I6-H6</calculatedColumnFormula>
    </tableColumn>
    <tableColumn id="10" xr3:uid="{69E89821-7749-43DB-8888-422B975231B5}" name="REMARKS" dataDxfId="30" totalsRowDxfId="29">
      <calculatedColumnFormula>IF(G6&lt;$H$3,"No Remarks",IF(AND(G6&gt;=$H$3,J6&lt;=$D$3),"Passed","Failed"))</calculatedColumnFormula>
    </tableColumn>
    <tableColumn id="12" xr3:uid="{7C878848-A9C3-4F5B-A7BF-8E228EF49D6D}" name="MEAS" dataDxfId="28" totalsRowDxfId="27">
      <calculatedColumnFormula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calculatedColumnFormula>
    </tableColumn>
    <tableColumn id="13" xr3:uid="{DE8405FE-4B65-47A8-BA8B-FFAEB92550BA}" name="CR" dataDxfId="26" totalsRowDxfId="2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CC563-B449-41DC-8C75-84E288908301}" name="April28_20232442" displayName="April28_20232442" ref="A5:M96" totalsRowCount="1">
  <autoFilter ref="A5:M95" xr:uid="{00000000-0009-0000-0100-0000F2000000}"/>
  <sortState xmlns:xlrd2="http://schemas.microsoft.com/office/spreadsheetml/2017/richdata2" ref="A6:M16">
    <sortCondition ref="F5:F15"/>
  </sortState>
  <tableColumns count="13">
    <tableColumn id="1" xr3:uid="{4F21C705-E21F-4DC6-BD1C-F8CE9D1FFF15}" name="ITEM" dataDxfId="5" totalsRowDxfId="24"/>
    <tableColumn id="11" xr3:uid="{1342F9FB-9D9B-4472-9253-FC2D5E2A848D}" name="BOST/ OMC" totalsRowLabel="TOTAL" dataDxfId="4" totalsRowDxfId="23"/>
    <tableColumn id="2" xr3:uid="{D4C02D69-0D16-42AB-92DF-E2120B3B8A25}" name="BRV #" dataDxfId="3" totalsRowDxfId="22"/>
    <tableColumn id="3" xr3:uid="{0B9F06BC-279E-483E-99A0-3425A78048B7}" name="BDC" dataDxfId="2" totalsRowDxfId="21"/>
    <tableColumn id="4" xr3:uid="{79E03FE7-586E-4FF1-92DC-1E27C6E4A282}" name="TRANSPORTER" dataDxfId="0" totalsRowDxfId="20"/>
    <tableColumn id="5" xr3:uid="{A1579983-DB35-4DCA-ACE0-4444895E92C0}" name="PRODUCT" dataDxfId="1" totalsRowDxfId="19"/>
    <tableColumn id="6" xr3:uid="{B0F8E977-5524-4CAC-AFF2-7D495C62078F}" name="CAPACITY" dataDxfId="18" totalsRowDxfId="17"/>
    <tableColumn id="7" xr3:uid="{678DE3FE-3E1A-400A-9692-EDA9B1B76ED3}" name="TIME IN" dataDxfId="16" totalsRowDxfId="15"/>
    <tableColumn id="8" xr3:uid="{EA1149D5-899D-4727-BDD7-52B4CB3F004D}" name="TIME OUT" dataDxfId="14" totalsRowDxfId="13"/>
    <tableColumn id="9" xr3:uid="{CABB6D83-1FC4-4425-8D3B-22A0CF15B1F7}" name="TAT " totalsRowFunction="average" totalsRowDxfId="12">
      <calculatedColumnFormula>I6-H6</calculatedColumnFormula>
    </tableColumn>
    <tableColumn id="10" xr3:uid="{B8C6F5BF-6CD6-4D86-94DC-15E56CF2BEA4}" name="REMARKS" dataDxfId="11" totalsRowDxfId="10">
      <calculatedColumnFormula>IF(G6&lt;$H$3,"No Remarks",IF(AND(G6&gt;=$H$3,J6&lt;=$D$3),"Passed","Failed"))</calculatedColumnFormula>
    </tableColumn>
    <tableColumn id="12" xr3:uid="{0F07B2C9-D08E-47E9-990A-07828067E466}" name="MEAS" dataDxfId="9" totalsRowDxfId="8">
      <calculatedColumnFormula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calculatedColumnFormula>
    </tableColumn>
    <tableColumn id="13" xr3:uid="{2B34F263-DE4E-4195-AC17-3730DB2356E9}" name="CR" dataDxfId="7" totalsRow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CDFA-E681-46D8-881B-9FE5EA91E030}">
  <sheetPr>
    <pageSetUpPr fitToPage="1"/>
  </sheetPr>
  <dimension ref="A1:AB224"/>
  <sheetViews>
    <sheetView view="pageBreakPreview" zoomScale="15" zoomScaleNormal="44" zoomScaleSheetLayoutView="25" workbookViewId="0">
      <selection activeCell="C3" sqref="C3"/>
    </sheetView>
  </sheetViews>
  <sheetFormatPr defaultColWidth="8.86328125" defaultRowHeight="14.25"/>
  <cols>
    <col min="1" max="1" width="9.1328125" style="65" customWidth="1"/>
    <col min="2" max="2" width="18" style="65" customWidth="1"/>
    <col min="3" max="3" width="41.1328125" style="65" customWidth="1"/>
    <col min="4" max="4" width="43.46484375" style="65" customWidth="1"/>
    <col min="5" max="5" width="37.53125" style="65" customWidth="1"/>
    <col min="6" max="6" width="19.53125" style="65" customWidth="1"/>
    <col min="7" max="7" width="22.1328125" style="65" customWidth="1"/>
    <col min="8" max="8" width="17.86328125" style="65" customWidth="1"/>
    <col min="9" max="9" width="18.1328125" style="65" customWidth="1"/>
    <col min="10" max="10" width="23.53125" style="65" customWidth="1"/>
    <col min="11" max="11" width="15.86328125" style="65" customWidth="1"/>
    <col min="12" max="13" width="12.1328125" style="65" customWidth="1"/>
    <col min="14" max="14" width="4.1328125" style="65" customWidth="1"/>
    <col min="15" max="15" width="19.1328125" style="65" customWidth="1"/>
    <col min="16" max="16" width="19.86328125" style="65" customWidth="1"/>
    <col min="17" max="17" width="20.1328125" style="65" customWidth="1"/>
    <col min="18" max="18" width="19.33203125" style="65" customWidth="1"/>
    <col min="19" max="19" width="17.53125" style="65" customWidth="1"/>
    <col min="20" max="20" width="21.1328125" style="65" customWidth="1"/>
    <col min="21" max="21" width="22" style="65" customWidth="1"/>
    <col min="22" max="22" width="29.46484375" style="65" customWidth="1"/>
    <col min="23" max="23" width="20.86328125" style="65" customWidth="1"/>
    <col min="24" max="24" width="32.53125" style="65" customWidth="1"/>
    <col min="25" max="25" width="16.53125" style="65" customWidth="1"/>
    <col min="26" max="26" width="16.86328125" style="65" customWidth="1"/>
    <col min="27" max="27" width="21.1328125" style="65" customWidth="1"/>
    <col min="28" max="28" width="21.86328125" style="65" customWidth="1"/>
    <col min="29" max="16384" width="8.86328125" style="65"/>
  </cols>
  <sheetData>
    <row r="1" spans="1:20" ht="18">
      <c r="B1" s="66"/>
      <c r="C1" s="67" t="s">
        <v>537</v>
      </c>
      <c r="D1" s="68"/>
      <c r="E1" s="68"/>
      <c r="F1" s="66"/>
      <c r="G1" s="66"/>
      <c r="H1" s="69"/>
      <c r="I1" s="70"/>
      <c r="J1" s="71" t="s">
        <v>1</v>
      </c>
      <c r="K1" s="72"/>
      <c r="L1" s="70"/>
      <c r="M1" s="70"/>
      <c r="N1" s="70"/>
      <c r="O1" s="70"/>
    </row>
    <row r="2" spans="1:20" ht="18">
      <c r="B2" s="68" t="s">
        <v>2</v>
      </c>
      <c r="C2" s="73">
        <v>45808</v>
      </c>
      <c r="D2" s="66"/>
      <c r="E2" s="66"/>
      <c r="F2" s="68" t="s">
        <v>3</v>
      </c>
      <c r="G2" s="66" t="s">
        <v>4</v>
      </c>
      <c r="H2" s="66"/>
      <c r="I2" s="74"/>
      <c r="J2" s="75"/>
      <c r="K2" s="76"/>
      <c r="L2" s="76"/>
      <c r="M2" s="76"/>
      <c r="Q2" s="77"/>
    </row>
    <row r="3" spans="1:20" ht="18">
      <c r="B3" s="66"/>
      <c r="C3" s="78" t="s">
        <v>5</v>
      </c>
      <c r="D3" s="79">
        <v>7.2916666666666699E-2</v>
      </c>
      <c r="E3" s="80"/>
      <c r="F3" s="66"/>
      <c r="G3" s="78" t="s">
        <v>6</v>
      </c>
      <c r="H3" s="81">
        <v>45000</v>
      </c>
      <c r="K3" s="82"/>
      <c r="L3" s="82"/>
      <c r="M3" s="82"/>
      <c r="N3" s="82"/>
      <c r="O3" s="82"/>
    </row>
    <row r="4" spans="1:20" ht="18">
      <c r="B4" s="66"/>
      <c r="C4" s="66"/>
      <c r="D4" s="66"/>
      <c r="E4" s="66"/>
      <c r="F4" s="66"/>
      <c r="G4" s="66"/>
      <c r="H4" s="66"/>
      <c r="O4" s="83" t="s">
        <v>350</v>
      </c>
    </row>
    <row r="5" spans="1:20" ht="18">
      <c r="A5" s="84" t="s">
        <v>7</v>
      </c>
      <c r="B5" s="85" t="s">
        <v>8</v>
      </c>
      <c r="C5" s="86" t="s">
        <v>9</v>
      </c>
      <c r="D5" s="86" t="s">
        <v>10</v>
      </c>
      <c r="E5" s="86" t="s">
        <v>11</v>
      </c>
      <c r="F5" s="86" t="s">
        <v>12</v>
      </c>
      <c r="G5" s="86" t="s">
        <v>13</v>
      </c>
      <c r="H5" s="86" t="s">
        <v>14</v>
      </c>
      <c r="I5" s="87" t="s">
        <v>15</v>
      </c>
      <c r="J5" s="88" t="s">
        <v>16</v>
      </c>
      <c r="K5" s="88" t="s">
        <v>17</v>
      </c>
      <c r="L5" s="88" t="s">
        <v>300</v>
      </c>
      <c r="M5" s="89" t="s">
        <v>351</v>
      </c>
      <c r="N5" s="90"/>
      <c r="O5" s="91" t="s">
        <v>17</v>
      </c>
      <c r="P5" s="91" t="s">
        <v>18</v>
      </c>
      <c r="Q5" s="91" t="s">
        <v>19</v>
      </c>
      <c r="R5" s="91" t="s">
        <v>20</v>
      </c>
      <c r="S5" s="91" t="s">
        <v>21</v>
      </c>
      <c r="T5" s="91" t="s">
        <v>22</v>
      </c>
    </row>
    <row r="6" spans="1:20">
      <c r="A6" s="15">
        <v>1</v>
      </c>
      <c r="B6" s="15" t="s">
        <v>23</v>
      </c>
      <c r="C6" s="33" t="s">
        <v>421</v>
      </c>
      <c r="D6" s="33" t="s">
        <v>463</v>
      </c>
      <c r="E6" s="33" t="s">
        <v>110</v>
      </c>
      <c r="F6" s="33" t="s">
        <v>24</v>
      </c>
      <c r="G6" s="33">
        <v>54000</v>
      </c>
      <c r="H6" s="16">
        <v>0.6777777777777777</v>
      </c>
      <c r="I6" s="54">
        <v>0.79166666666666663</v>
      </c>
      <c r="J6" s="30">
        <f t="shared" ref="J6:J71" si="0">I6-H6</f>
        <v>0.11388888888888893</v>
      </c>
      <c r="K6" s="30" t="str">
        <f t="shared" ref="K6:K69" si="1">IF(G6&lt;$H$3,"No Remarks",IF(AND(G6&gt;=$H$3,J6&lt;=$D$3),"Passed","Failed"))</f>
        <v>Failed</v>
      </c>
      <c r="L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6" s="50" t="s">
        <v>353</v>
      </c>
      <c r="N6" s="90" t="str">
        <f t="array" ref="N6">IF(OR(May19_2023258261263262264265266267268[[#This Row],[BRV '#]]='[1]BOST-KSI-1655369187'!$C$2:$C$40),"OKKo","")</f>
        <v/>
      </c>
      <c r="O6" s="93" t="s">
        <v>25</v>
      </c>
      <c r="P6" s="92">
        <f>COUNTIF(May19_2023258261263262264265266267268[REMARKS],O6)</f>
        <v>41</v>
      </c>
      <c r="Q6" s="94">
        <f>AVERAGEIF(May19_2023258261263262264265266267268[REMARKS],O6,May19_2023258261263262264265266267268[[TAT ]])</f>
        <v>6.1822493224932253E-2</v>
      </c>
      <c r="R6" s="94">
        <f>_xlfn.MINIFS(May19_2023258261263262264265266267268[[TAT ]],May19_2023258261263262264265266267268[CAPACITY],"&gt;=45000",May19_2023258261263262264265266267268[[TAT ]],"&lt;=1:45")</f>
        <v>3.472222222222221E-2</v>
      </c>
      <c r="S6" s="94">
        <f>_xlfn.MAXIFS(May19_2023258261263262264265266267268[[TAT ]],May19_2023258261263262264265266267268[CAPACITY],"&gt;=1000",May19_2023258261263262264265266267268[[TAT ]],"&gt;0:45")</f>
        <v>0.1743055555555556</v>
      </c>
      <c r="T6" s="94">
        <f>S6-R6</f>
        <v>0.13958333333333339</v>
      </c>
    </row>
    <row r="7" spans="1:20">
      <c r="A7" s="15">
        <v>2</v>
      </c>
      <c r="B7" s="15" t="s">
        <v>23</v>
      </c>
      <c r="C7" s="33" t="s">
        <v>419</v>
      </c>
      <c r="D7" s="33" t="s">
        <v>463</v>
      </c>
      <c r="E7" s="33" t="s">
        <v>95</v>
      </c>
      <c r="F7" s="33" t="s">
        <v>24</v>
      </c>
      <c r="G7" s="33">
        <v>54000</v>
      </c>
      <c r="H7" s="16">
        <v>0.65694444444444444</v>
      </c>
      <c r="I7" s="16">
        <v>0.75694444444444453</v>
      </c>
      <c r="J7" s="30">
        <f t="shared" si="0"/>
        <v>0.10000000000000009</v>
      </c>
      <c r="K7" s="30" t="str">
        <f t="shared" si="1"/>
        <v>Failed</v>
      </c>
      <c r="L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7" s="50" t="s">
        <v>353</v>
      </c>
      <c r="N7" s="90"/>
      <c r="O7" s="95" t="s">
        <v>27</v>
      </c>
      <c r="P7" s="92">
        <f>COUNTIF(May19_2023258261263262264265266267268[REMARKS],O7)</f>
        <v>73</v>
      </c>
      <c r="Q7" s="94">
        <f>IFERROR(AVERAGEIF(May19_2023258261263262264265266267268[REMARKS],O7,May19_2023258261263262264265266267268[[TAT ]]),"None")</f>
        <v>9.452054794520548E-2</v>
      </c>
      <c r="R7" s="92"/>
      <c r="S7" s="92"/>
      <c r="T7" s="92"/>
    </row>
    <row r="8" spans="1:20">
      <c r="A8" s="15">
        <v>3</v>
      </c>
      <c r="B8" s="15" t="s">
        <v>23</v>
      </c>
      <c r="C8" s="33" t="s">
        <v>114</v>
      </c>
      <c r="D8" s="33" t="s">
        <v>463</v>
      </c>
      <c r="E8" s="33" t="s">
        <v>110</v>
      </c>
      <c r="F8" s="33" t="s">
        <v>24</v>
      </c>
      <c r="G8" s="33">
        <v>54000</v>
      </c>
      <c r="H8" s="16">
        <v>0.67638888888888893</v>
      </c>
      <c r="I8" s="16">
        <v>0.75347222222222221</v>
      </c>
      <c r="J8" s="30">
        <f t="shared" si="0"/>
        <v>7.7083333333333282E-2</v>
      </c>
      <c r="K8" s="30" t="str">
        <f t="shared" si="1"/>
        <v>Failed</v>
      </c>
      <c r="L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8" s="50" t="s">
        <v>353</v>
      </c>
      <c r="N8" s="90"/>
      <c r="O8" s="92" t="s">
        <v>229</v>
      </c>
      <c r="P8" s="92">
        <f>COUNTIF(May19_2023258261263262264265266267268[REMARKS],O8)</f>
        <v>104</v>
      </c>
      <c r="Q8" s="92"/>
      <c r="R8" s="94"/>
      <c r="S8" s="92"/>
      <c r="T8" s="92"/>
    </row>
    <row r="9" spans="1:20">
      <c r="A9" s="15">
        <v>4</v>
      </c>
      <c r="B9" s="15" t="s">
        <v>23</v>
      </c>
      <c r="C9" s="33" t="s">
        <v>156</v>
      </c>
      <c r="D9" s="33" t="s">
        <v>463</v>
      </c>
      <c r="E9" s="33" t="s">
        <v>138</v>
      </c>
      <c r="F9" s="33" t="s">
        <v>24</v>
      </c>
      <c r="G9" s="33">
        <v>54000</v>
      </c>
      <c r="H9" s="16">
        <v>0.65625</v>
      </c>
      <c r="I9" s="16">
        <v>0.72916666666666663</v>
      </c>
      <c r="J9" s="30">
        <f t="shared" si="0"/>
        <v>7.291666666666663E-2</v>
      </c>
      <c r="K9" s="30" t="str">
        <f t="shared" si="1"/>
        <v>Passed</v>
      </c>
      <c r="L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9" s="50"/>
      <c r="N9" s="90"/>
      <c r="O9" s="96" t="s">
        <v>28</v>
      </c>
      <c r="P9" s="96">
        <f>SUM(P6:P8)</f>
        <v>218</v>
      </c>
      <c r="Q9" s="97">
        <f>AVERAGE(Q6:Q7)</f>
        <v>7.8171520585068863E-2</v>
      </c>
      <c r="R9" s="92"/>
      <c r="S9" s="92"/>
      <c r="T9" s="92"/>
    </row>
    <row r="10" spans="1:20">
      <c r="A10" s="15">
        <v>5</v>
      </c>
      <c r="B10" s="15" t="s">
        <v>23</v>
      </c>
      <c r="C10" s="33" t="s">
        <v>140</v>
      </c>
      <c r="D10" s="33" t="s">
        <v>463</v>
      </c>
      <c r="E10" s="33" t="s">
        <v>96</v>
      </c>
      <c r="F10" s="33" t="s">
        <v>24</v>
      </c>
      <c r="G10" s="33">
        <v>49500</v>
      </c>
      <c r="H10" s="16">
        <v>0.66388888888888886</v>
      </c>
      <c r="I10" s="16">
        <v>0.73263888888888884</v>
      </c>
      <c r="J10" s="30">
        <f t="shared" si="0"/>
        <v>6.8749999999999978E-2</v>
      </c>
      <c r="K10" s="30" t="str">
        <f t="shared" si="1"/>
        <v>Passed</v>
      </c>
      <c r="L1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0" s="50"/>
    </row>
    <row r="11" spans="1:20">
      <c r="A11" s="15">
        <v>6</v>
      </c>
      <c r="B11" s="15" t="s">
        <v>23</v>
      </c>
      <c r="C11" s="33" t="s">
        <v>186</v>
      </c>
      <c r="D11" s="33" t="s">
        <v>463</v>
      </c>
      <c r="E11" s="33" t="s">
        <v>142</v>
      </c>
      <c r="F11" s="33" t="s">
        <v>24</v>
      </c>
      <c r="G11" s="33">
        <v>54000</v>
      </c>
      <c r="H11" s="16">
        <v>0.62916666666666665</v>
      </c>
      <c r="I11" s="16">
        <v>0.73611111111111116</v>
      </c>
      <c r="J11" s="30">
        <f t="shared" si="0"/>
        <v>0.10694444444444451</v>
      </c>
      <c r="K11" s="30" t="str">
        <f t="shared" si="1"/>
        <v>Failed</v>
      </c>
      <c r="L1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11" s="50" t="s">
        <v>353</v>
      </c>
    </row>
    <row r="12" spans="1:20">
      <c r="A12" s="15">
        <v>7</v>
      </c>
      <c r="B12" s="15" t="s">
        <v>23</v>
      </c>
      <c r="C12" s="33" t="s">
        <v>171</v>
      </c>
      <c r="D12" s="33" t="s">
        <v>33</v>
      </c>
      <c r="E12" s="33" t="s">
        <v>38</v>
      </c>
      <c r="F12" s="33" t="s">
        <v>31</v>
      </c>
      <c r="G12" s="33">
        <v>54000</v>
      </c>
      <c r="H12" s="16">
        <v>0.63402777777777775</v>
      </c>
      <c r="I12" s="16">
        <v>0.72222222222222221</v>
      </c>
      <c r="J12" s="30">
        <f t="shared" si="0"/>
        <v>8.8194444444444464E-2</v>
      </c>
      <c r="K12" s="30" t="str">
        <f t="shared" si="1"/>
        <v>Failed</v>
      </c>
      <c r="L1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2" s="50" t="s">
        <v>354</v>
      </c>
    </row>
    <row r="13" spans="1:20">
      <c r="A13" s="15">
        <v>8</v>
      </c>
      <c r="B13" s="15" t="s">
        <v>23</v>
      </c>
      <c r="C13" s="33" t="s">
        <v>51</v>
      </c>
      <c r="D13" s="33" t="s">
        <v>463</v>
      </c>
      <c r="E13" s="33" t="s">
        <v>42</v>
      </c>
      <c r="F13" s="33" t="s">
        <v>24</v>
      </c>
      <c r="G13" s="33">
        <v>54000</v>
      </c>
      <c r="H13" s="16">
        <v>0.62847222222222221</v>
      </c>
      <c r="I13" s="16">
        <v>0.71527777777777779</v>
      </c>
      <c r="J13" s="30">
        <f t="shared" si="0"/>
        <v>8.680555555555558E-2</v>
      </c>
      <c r="K13" s="30" t="str">
        <f t="shared" si="1"/>
        <v>Failed</v>
      </c>
      <c r="L1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3" s="50" t="s">
        <v>353</v>
      </c>
    </row>
    <row r="14" spans="1:20" s="98" customFormat="1">
      <c r="A14" s="15">
        <v>9</v>
      </c>
      <c r="B14" s="15" t="s">
        <v>23</v>
      </c>
      <c r="C14" s="33" t="s">
        <v>48</v>
      </c>
      <c r="D14" s="33" t="s">
        <v>463</v>
      </c>
      <c r="E14" s="33" t="s">
        <v>43</v>
      </c>
      <c r="F14" s="33" t="s">
        <v>24</v>
      </c>
      <c r="G14" s="33">
        <v>49500</v>
      </c>
      <c r="H14" s="16">
        <v>0.64513888888888882</v>
      </c>
      <c r="I14" s="16">
        <v>0.68055555555555547</v>
      </c>
      <c r="J14" s="30">
        <f t="shared" si="0"/>
        <v>3.5416666666666652E-2</v>
      </c>
      <c r="K14" s="30" t="str">
        <f t="shared" si="1"/>
        <v>Passed</v>
      </c>
      <c r="L1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14" s="50"/>
      <c r="N14" s="65"/>
    </row>
    <row r="15" spans="1:20">
      <c r="A15" s="15">
        <v>10</v>
      </c>
      <c r="B15" s="15" t="s">
        <v>23</v>
      </c>
      <c r="C15" s="33" t="s">
        <v>103</v>
      </c>
      <c r="D15" s="33" t="s">
        <v>463</v>
      </c>
      <c r="E15" s="33" t="s">
        <v>104</v>
      </c>
      <c r="F15" s="33" t="s">
        <v>31</v>
      </c>
      <c r="G15" s="33">
        <v>54000</v>
      </c>
      <c r="H15" s="16">
        <v>0.63194444444444442</v>
      </c>
      <c r="I15" s="16">
        <v>0.66666666666666663</v>
      </c>
      <c r="J15" s="30">
        <f t="shared" si="0"/>
        <v>3.472222222222221E-2</v>
      </c>
      <c r="K15" s="30" t="str">
        <f t="shared" si="1"/>
        <v>Passed</v>
      </c>
      <c r="L1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15" s="50"/>
    </row>
    <row r="16" spans="1:20">
      <c r="A16" s="15">
        <v>11</v>
      </c>
      <c r="B16" s="15" t="s">
        <v>23</v>
      </c>
      <c r="C16" s="33" t="s">
        <v>194</v>
      </c>
      <c r="D16" s="33" t="s">
        <v>463</v>
      </c>
      <c r="E16" s="33" t="s">
        <v>93</v>
      </c>
      <c r="F16" s="33" t="s">
        <v>24</v>
      </c>
      <c r="G16" s="33">
        <v>54000</v>
      </c>
      <c r="H16" s="64">
        <v>0.55208333333333337</v>
      </c>
      <c r="I16" s="64">
        <v>0.63888888888888895</v>
      </c>
      <c r="J16" s="30">
        <f t="shared" si="0"/>
        <v>8.680555555555558E-2</v>
      </c>
      <c r="K16" s="30" t="str">
        <f t="shared" si="1"/>
        <v>Failed</v>
      </c>
      <c r="L1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6" s="50" t="s">
        <v>353</v>
      </c>
    </row>
    <row r="17" spans="1:13">
      <c r="A17" s="15">
        <v>12</v>
      </c>
      <c r="B17" s="15" t="s">
        <v>23</v>
      </c>
      <c r="C17" s="33" t="s">
        <v>230</v>
      </c>
      <c r="D17" s="33" t="s">
        <v>463</v>
      </c>
      <c r="E17" s="33" t="s">
        <v>93</v>
      </c>
      <c r="F17" s="33" t="s">
        <v>24</v>
      </c>
      <c r="G17" s="33">
        <v>54000</v>
      </c>
      <c r="H17" s="64">
        <v>0.52638888888888891</v>
      </c>
      <c r="I17" s="64">
        <v>0.60416666666666663</v>
      </c>
      <c r="J17" s="30">
        <f t="shared" si="0"/>
        <v>7.7777777777777724E-2</v>
      </c>
      <c r="K17" s="30" t="str">
        <f t="shared" si="1"/>
        <v>Failed</v>
      </c>
      <c r="L1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7" s="50" t="s">
        <v>353</v>
      </c>
    </row>
    <row r="18" spans="1:13">
      <c r="A18" s="15">
        <v>13</v>
      </c>
      <c r="B18" s="15" t="s">
        <v>23</v>
      </c>
      <c r="C18" s="33" t="s">
        <v>91</v>
      </c>
      <c r="D18" s="33" t="s">
        <v>463</v>
      </c>
      <c r="E18" s="33" t="s">
        <v>92</v>
      </c>
      <c r="F18" s="33" t="s">
        <v>24</v>
      </c>
      <c r="G18" s="33">
        <v>54000</v>
      </c>
      <c r="H18" s="64">
        <v>0.5083333333333333</v>
      </c>
      <c r="I18" s="64">
        <v>0.59722222222222221</v>
      </c>
      <c r="J18" s="30">
        <f t="shared" si="0"/>
        <v>8.8888888888888906E-2</v>
      </c>
      <c r="K18" s="30" t="str">
        <f t="shared" si="1"/>
        <v>Failed</v>
      </c>
      <c r="L1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8" s="50" t="s">
        <v>353</v>
      </c>
    </row>
    <row r="19" spans="1:13">
      <c r="A19" s="15">
        <v>14</v>
      </c>
      <c r="B19" s="15" t="s">
        <v>23</v>
      </c>
      <c r="C19" s="33" t="s">
        <v>384</v>
      </c>
      <c r="D19" s="33" t="s">
        <v>463</v>
      </c>
      <c r="E19" s="33" t="s">
        <v>385</v>
      </c>
      <c r="F19" s="33" t="s">
        <v>24</v>
      </c>
      <c r="G19" s="33">
        <v>54000</v>
      </c>
      <c r="H19" s="64">
        <v>0.50902777777777775</v>
      </c>
      <c r="I19" s="64">
        <v>0.58333333333333337</v>
      </c>
      <c r="J19" s="30">
        <f t="shared" si="0"/>
        <v>7.4305555555555625E-2</v>
      </c>
      <c r="K19" s="30" t="str">
        <f t="shared" si="1"/>
        <v>Failed</v>
      </c>
      <c r="L1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9" s="50" t="s">
        <v>353</v>
      </c>
    </row>
    <row r="20" spans="1:13">
      <c r="A20" s="15">
        <v>15</v>
      </c>
      <c r="B20" s="15" t="s">
        <v>23</v>
      </c>
      <c r="C20" s="33" t="s">
        <v>478</v>
      </c>
      <c r="D20" s="33" t="s">
        <v>463</v>
      </c>
      <c r="E20" s="33" t="s">
        <v>36</v>
      </c>
      <c r="F20" s="33" t="s">
        <v>24</v>
      </c>
      <c r="G20" s="33">
        <v>54000</v>
      </c>
      <c r="H20" s="64">
        <v>0.51111111111111118</v>
      </c>
      <c r="I20" s="64">
        <v>0.59027777777777779</v>
      </c>
      <c r="J20" s="30">
        <f t="shared" si="0"/>
        <v>7.9166666666666607E-2</v>
      </c>
      <c r="K20" s="30" t="str">
        <f t="shared" si="1"/>
        <v>Failed</v>
      </c>
      <c r="L2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20" s="50" t="s">
        <v>353</v>
      </c>
    </row>
    <row r="21" spans="1:13">
      <c r="A21" s="15">
        <v>16</v>
      </c>
      <c r="B21" s="15" t="s">
        <v>23</v>
      </c>
      <c r="C21" s="33" t="s">
        <v>328</v>
      </c>
      <c r="D21" s="33" t="s">
        <v>463</v>
      </c>
      <c r="E21" s="33" t="s">
        <v>260</v>
      </c>
      <c r="F21" s="33" t="s">
        <v>24</v>
      </c>
      <c r="G21" s="33">
        <v>53500</v>
      </c>
      <c r="H21" s="64">
        <v>0.47986111111111113</v>
      </c>
      <c r="I21" s="64">
        <v>0.5625</v>
      </c>
      <c r="J21" s="30">
        <f t="shared" si="0"/>
        <v>8.2638888888888873E-2</v>
      </c>
      <c r="K21" s="30" t="str">
        <f t="shared" si="1"/>
        <v>Failed</v>
      </c>
      <c r="L2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21" s="50" t="s">
        <v>353</v>
      </c>
    </row>
    <row r="22" spans="1:13">
      <c r="A22" s="15">
        <v>17</v>
      </c>
      <c r="B22" s="15" t="s">
        <v>23</v>
      </c>
      <c r="C22" s="33" t="s">
        <v>381</v>
      </c>
      <c r="D22" s="33" t="s">
        <v>161</v>
      </c>
      <c r="E22" s="33" t="s">
        <v>173</v>
      </c>
      <c r="F22" s="33" t="s">
        <v>24</v>
      </c>
      <c r="G22" s="33">
        <v>50000</v>
      </c>
      <c r="H22" s="64">
        <v>0.46736111111111112</v>
      </c>
      <c r="I22" s="64">
        <v>0.55208333333333337</v>
      </c>
      <c r="J22" s="30">
        <f t="shared" si="0"/>
        <v>8.4722222222222254E-2</v>
      </c>
      <c r="K22" s="30" t="str">
        <f t="shared" si="1"/>
        <v>Failed</v>
      </c>
      <c r="L2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22" s="50" t="s">
        <v>353</v>
      </c>
    </row>
    <row r="23" spans="1:13">
      <c r="A23" s="15">
        <v>18</v>
      </c>
      <c r="B23" s="15" t="s">
        <v>23</v>
      </c>
      <c r="C23" s="33" t="s">
        <v>123</v>
      </c>
      <c r="D23" s="33" t="s">
        <v>463</v>
      </c>
      <c r="E23" s="33" t="s">
        <v>47</v>
      </c>
      <c r="F23" s="33" t="s">
        <v>24</v>
      </c>
      <c r="G23" s="33">
        <v>54000</v>
      </c>
      <c r="H23" s="64">
        <v>0.4777777777777778</v>
      </c>
      <c r="I23" s="64">
        <v>0.54861111111111105</v>
      </c>
      <c r="J23" s="30">
        <f t="shared" si="0"/>
        <v>7.0833333333333248E-2</v>
      </c>
      <c r="K23" s="30" t="str">
        <f t="shared" si="1"/>
        <v>Passed</v>
      </c>
      <c r="L2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3" s="50"/>
    </row>
    <row r="24" spans="1:13">
      <c r="A24" s="15">
        <v>19</v>
      </c>
      <c r="B24" s="15" t="s">
        <v>23</v>
      </c>
      <c r="C24" s="33" t="s">
        <v>90</v>
      </c>
      <c r="D24" s="33" t="s">
        <v>463</v>
      </c>
      <c r="E24" s="33" t="s">
        <v>36</v>
      </c>
      <c r="F24" s="33" t="s">
        <v>24</v>
      </c>
      <c r="G24" s="33">
        <v>54000</v>
      </c>
      <c r="H24" s="64">
        <v>0.45624999999999999</v>
      </c>
      <c r="I24" s="64">
        <v>0.55555555555555558</v>
      </c>
      <c r="J24" s="30">
        <f t="shared" si="0"/>
        <v>9.9305555555555591E-2</v>
      </c>
      <c r="K24" s="30" t="str">
        <f t="shared" si="1"/>
        <v>Failed</v>
      </c>
      <c r="L2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24" s="50" t="s">
        <v>353</v>
      </c>
    </row>
    <row r="25" spans="1:13">
      <c r="A25" s="15">
        <v>20</v>
      </c>
      <c r="B25" s="15" t="s">
        <v>23</v>
      </c>
      <c r="C25" s="33" t="s">
        <v>125</v>
      </c>
      <c r="D25" s="33" t="s">
        <v>23</v>
      </c>
      <c r="E25" s="33" t="s">
        <v>124</v>
      </c>
      <c r="F25" s="33" t="s">
        <v>24</v>
      </c>
      <c r="G25" s="33">
        <v>54000</v>
      </c>
      <c r="H25" s="64">
        <v>0.47847222222222219</v>
      </c>
      <c r="I25" s="64">
        <v>0.54166666666666663</v>
      </c>
      <c r="J25" s="30">
        <f t="shared" si="0"/>
        <v>6.3194444444444442E-2</v>
      </c>
      <c r="K25" s="30" t="str">
        <f t="shared" si="1"/>
        <v>Passed</v>
      </c>
      <c r="L2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5" s="50"/>
    </row>
    <row r="26" spans="1:13">
      <c r="A26" s="15">
        <v>21</v>
      </c>
      <c r="B26" s="15" t="s">
        <v>23</v>
      </c>
      <c r="C26" s="33" t="s">
        <v>199</v>
      </c>
      <c r="D26" s="33" t="s">
        <v>23</v>
      </c>
      <c r="E26" s="33" t="s">
        <v>185</v>
      </c>
      <c r="F26" s="33" t="s">
        <v>24</v>
      </c>
      <c r="G26" s="33">
        <v>54000</v>
      </c>
      <c r="H26" s="64">
        <v>0.47916666666666669</v>
      </c>
      <c r="I26" s="64">
        <v>0.52777777777777779</v>
      </c>
      <c r="J26" s="30">
        <f t="shared" si="0"/>
        <v>4.8611111111111105E-2</v>
      </c>
      <c r="K26" s="30" t="str">
        <f t="shared" si="1"/>
        <v>Passed</v>
      </c>
      <c r="L2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6" s="50"/>
    </row>
    <row r="27" spans="1:13">
      <c r="A27" s="15">
        <v>22</v>
      </c>
      <c r="B27" s="15" t="s">
        <v>23</v>
      </c>
      <c r="C27" s="33" t="s">
        <v>174</v>
      </c>
      <c r="D27" s="33" t="s">
        <v>463</v>
      </c>
      <c r="E27" s="33" t="s">
        <v>108</v>
      </c>
      <c r="F27" s="33" t="s">
        <v>24</v>
      </c>
      <c r="G27" s="33">
        <v>54000</v>
      </c>
      <c r="H27" s="64">
        <v>0.46666666666666662</v>
      </c>
      <c r="I27" s="64">
        <v>0.55208333333333337</v>
      </c>
      <c r="J27" s="30">
        <f t="shared" si="0"/>
        <v>8.5416666666666752E-2</v>
      </c>
      <c r="K27" s="30" t="str">
        <f t="shared" si="1"/>
        <v>Failed</v>
      </c>
      <c r="L2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27" s="50" t="s">
        <v>353</v>
      </c>
    </row>
    <row r="28" spans="1:13">
      <c r="A28" s="15">
        <v>23</v>
      </c>
      <c r="B28" s="15" t="s">
        <v>23</v>
      </c>
      <c r="C28" s="33" t="s">
        <v>228</v>
      </c>
      <c r="D28" s="33" t="s">
        <v>294</v>
      </c>
      <c r="E28" s="33" t="s">
        <v>466</v>
      </c>
      <c r="F28" s="33" t="s">
        <v>24</v>
      </c>
      <c r="G28" s="33">
        <v>50000</v>
      </c>
      <c r="H28" s="64">
        <v>0.44930555555555557</v>
      </c>
      <c r="I28" s="64">
        <v>0.52083333333333337</v>
      </c>
      <c r="J28" s="30">
        <f t="shared" si="0"/>
        <v>7.1527777777777801E-2</v>
      </c>
      <c r="K28" s="30" t="str">
        <f t="shared" si="1"/>
        <v>Passed</v>
      </c>
      <c r="L2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8" s="50"/>
    </row>
    <row r="29" spans="1:13">
      <c r="A29" s="15">
        <v>24</v>
      </c>
      <c r="B29" s="15" t="s">
        <v>23</v>
      </c>
      <c r="C29" s="33" t="s">
        <v>201</v>
      </c>
      <c r="D29" s="33" t="s">
        <v>463</v>
      </c>
      <c r="E29" s="33" t="s">
        <v>202</v>
      </c>
      <c r="F29" s="33" t="s">
        <v>24</v>
      </c>
      <c r="G29" s="33">
        <v>54000</v>
      </c>
      <c r="H29" s="64">
        <v>0.44861111111111113</v>
      </c>
      <c r="I29" s="64">
        <v>0.51388888888888895</v>
      </c>
      <c r="J29" s="30">
        <f t="shared" si="0"/>
        <v>6.5277777777777823E-2</v>
      </c>
      <c r="K29" s="30" t="str">
        <f t="shared" si="1"/>
        <v>Passed</v>
      </c>
      <c r="L2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9" s="50"/>
    </row>
    <row r="30" spans="1:13">
      <c r="A30" s="15">
        <v>25</v>
      </c>
      <c r="B30" s="15" t="s">
        <v>23</v>
      </c>
      <c r="C30" s="33" t="s">
        <v>97</v>
      </c>
      <c r="D30" s="33" t="s">
        <v>463</v>
      </c>
      <c r="E30" s="33" t="s">
        <v>34</v>
      </c>
      <c r="F30" s="33" t="s">
        <v>24</v>
      </c>
      <c r="G30" s="33">
        <v>54000</v>
      </c>
      <c r="H30" s="64">
        <v>0.4513888888888889</v>
      </c>
      <c r="I30" s="64">
        <v>0.51388888888888895</v>
      </c>
      <c r="J30" s="30">
        <f t="shared" si="0"/>
        <v>6.2500000000000056E-2</v>
      </c>
      <c r="K30" s="30" t="str">
        <f t="shared" si="1"/>
        <v>Passed</v>
      </c>
      <c r="L3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30" s="50"/>
    </row>
    <row r="31" spans="1:13">
      <c r="A31" s="15">
        <v>26</v>
      </c>
      <c r="B31" s="15" t="s">
        <v>23</v>
      </c>
      <c r="C31" s="33" t="s">
        <v>113</v>
      </c>
      <c r="D31" s="33" t="s">
        <v>463</v>
      </c>
      <c r="E31" s="33" t="s">
        <v>102</v>
      </c>
      <c r="F31" s="33" t="s">
        <v>24</v>
      </c>
      <c r="G31" s="33">
        <v>54000</v>
      </c>
      <c r="H31" s="64">
        <v>0.41666666666666669</v>
      </c>
      <c r="I31" s="64">
        <v>0.51041666666666663</v>
      </c>
      <c r="J31" s="30">
        <f t="shared" si="0"/>
        <v>9.3749999999999944E-2</v>
      </c>
      <c r="K31" s="30" t="str">
        <f t="shared" si="1"/>
        <v>Failed</v>
      </c>
      <c r="L3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31" s="50" t="s">
        <v>353</v>
      </c>
    </row>
    <row r="32" spans="1:13">
      <c r="A32" s="15">
        <v>27</v>
      </c>
      <c r="B32" s="15" t="s">
        <v>23</v>
      </c>
      <c r="C32" s="33" t="s">
        <v>181</v>
      </c>
      <c r="D32" s="33" t="s">
        <v>463</v>
      </c>
      <c r="E32" s="33" t="s">
        <v>182</v>
      </c>
      <c r="F32" s="33" t="s">
        <v>24</v>
      </c>
      <c r="G32" s="33">
        <v>54000</v>
      </c>
      <c r="H32" s="64">
        <v>0.41666666666666669</v>
      </c>
      <c r="I32" s="64">
        <v>0.50694444444444442</v>
      </c>
      <c r="J32" s="30">
        <f t="shared" si="0"/>
        <v>9.0277777777777735E-2</v>
      </c>
      <c r="K32" s="30" t="str">
        <f t="shared" si="1"/>
        <v>Failed</v>
      </c>
      <c r="L3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32" s="50" t="s">
        <v>353</v>
      </c>
    </row>
    <row r="33" spans="1:24">
      <c r="A33" s="15">
        <v>28</v>
      </c>
      <c r="B33" s="15" t="s">
        <v>23</v>
      </c>
      <c r="C33" s="33" t="s">
        <v>347</v>
      </c>
      <c r="D33" s="33" t="s">
        <v>463</v>
      </c>
      <c r="E33" s="33" t="s">
        <v>298</v>
      </c>
      <c r="F33" s="33" t="s">
        <v>24</v>
      </c>
      <c r="G33" s="33">
        <v>54000</v>
      </c>
      <c r="H33" s="64">
        <v>0.41875000000000001</v>
      </c>
      <c r="I33" s="64">
        <v>0.5</v>
      </c>
      <c r="J33" s="30">
        <f t="shared" si="0"/>
        <v>8.1249999999999989E-2</v>
      </c>
      <c r="K33" s="30" t="str">
        <f t="shared" si="1"/>
        <v>Failed</v>
      </c>
      <c r="L3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33" s="50" t="s">
        <v>353</v>
      </c>
      <c r="O33" s="83" t="s">
        <v>355</v>
      </c>
    </row>
    <row r="34" spans="1:24">
      <c r="A34" s="15">
        <v>29</v>
      </c>
      <c r="B34" s="15" t="s">
        <v>23</v>
      </c>
      <c r="C34" s="33" t="s">
        <v>520</v>
      </c>
      <c r="D34" s="33" t="s">
        <v>463</v>
      </c>
      <c r="E34" s="33" t="s">
        <v>412</v>
      </c>
      <c r="F34" s="33" t="s">
        <v>24</v>
      </c>
      <c r="G34" s="33">
        <v>54000</v>
      </c>
      <c r="H34" s="64">
        <v>0.36180555555555555</v>
      </c>
      <c r="I34" s="64">
        <v>0.4861111111111111</v>
      </c>
      <c r="J34" s="30">
        <f t="shared" si="0"/>
        <v>0.12430555555555556</v>
      </c>
      <c r="K34" s="30" t="str">
        <f t="shared" si="1"/>
        <v>Failed</v>
      </c>
      <c r="L3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x9</v>
      </c>
      <c r="M34" s="50" t="s">
        <v>353</v>
      </c>
      <c r="O34" s="91" t="s">
        <v>302</v>
      </c>
      <c r="P34" s="91" t="s">
        <v>303</v>
      </c>
      <c r="Q34" s="91" t="s">
        <v>304</v>
      </c>
      <c r="R34" s="91" t="s">
        <v>305</v>
      </c>
      <c r="S34" s="91" t="s">
        <v>306</v>
      </c>
      <c r="T34" s="91" t="s">
        <v>307</v>
      </c>
      <c r="U34" s="91" t="s">
        <v>308</v>
      </c>
      <c r="V34" s="91" t="s">
        <v>309</v>
      </c>
      <c r="W34" s="91" t="s">
        <v>310</v>
      </c>
      <c r="X34" s="91" t="s">
        <v>311</v>
      </c>
    </row>
    <row r="35" spans="1:24">
      <c r="A35" s="15">
        <v>30</v>
      </c>
      <c r="B35" s="15" t="s">
        <v>23</v>
      </c>
      <c r="C35" s="33" t="s">
        <v>109</v>
      </c>
      <c r="D35" s="33" t="s">
        <v>463</v>
      </c>
      <c r="E35" s="33" t="s">
        <v>30</v>
      </c>
      <c r="F35" s="33" t="s">
        <v>24</v>
      </c>
      <c r="G35" s="33">
        <v>54000</v>
      </c>
      <c r="H35" s="64">
        <v>0.37152777777777773</v>
      </c>
      <c r="I35" s="64">
        <v>0.4826388888888889</v>
      </c>
      <c r="J35" s="30">
        <f t="shared" si="0"/>
        <v>0.11111111111111116</v>
      </c>
      <c r="K35" s="30" t="str">
        <f t="shared" si="1"/>
        <v>Failed</v>
      </c>
      <c r="L3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35" s="50" t="s">
        <v>353</v>
      </c>
      <c r="O35" s="96" t="s">
        <v>312</v>
      </c>
      <c r="P35" s="96" t="s">
        <v>313</v>
      </c>
      <c r="Q35" s="96" t="s">
        <v>314</v>
      </c>
      <c r="R35" s="96" t="s">
        <v>315</v>
      </c>
      <c r="S35" s="96" t="s">
        <v>316</v>
      </c>
      <c r="T35" s="96" t="s">
        <v>317</v>
      </c>
      <c r="U35" s="96" t="s">
        <v>318</v>
      </c>
      <c r="V35" s="96" t="s">
        <v>319</v>
      </c>
      <c r="W35" s="96" t="s">
        <v>320</v>
      </c>
      <c r="X35" s="96" t="s">
        <v>321</v>
      </c>
    </row>
    <row r="36" spans="1:24">
      <c r="A36" s="15">
        <v>31</v>
      </c>
      <c r="B36" s="15" t="s">
        <v>23</v>
      </c>
      <c r="C36" s="33" t="s">
        <v>122</v>
      </c>
      <c r="D36" s="33" t="s">
        <v>33</v>
      </c>
      <c r="E36" s="33" t="s">
        <v>50</v>
      </c>
      <c r="F36" s="33" t="s">
        <v>31</v>
      </c>
      <c r="G36" s="33">
        <v>54000</v>
      </c>
      <c r="H36" s="64">
        <v>0.30486111111111108</v>
      </c>
      <c r="I36" s="64">
        <v>0.47916666666666669</v>
      </c>
      <c r="J36" s="30">
        <f t="shared" si="0"/>
        <v>0.1743055555555556</v>
      </c>
      <c r="K36" s="30" t="str">
        <f t="shared" si="1"/>
        <v>Failed</v>
      </c>
      <c r="L3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x10</v>
      </c>
      <c r="M36" s="50" t="s">
        <v>519</v>
      </c>
      <c r="O36" s="92">
        <f>COUNTIF(May19_2023258261263262264265266267268[MEAS],O35)</f>
        <v>12</v>
      </c>
      <c r="P36" s="92">
        <f>COUNTIF(May19_2023258261263262264265266267268[MEAS],P35)</f>
        <v>30</v>
      </c>
      <c r="Q36" s="92">
        <f>COUNTIF(May19_2023258261263262264265266267268[MEAS],Q35)</f>
        <v>46</v>
      </c>
      <c r="R36" s="92">
        <f>COUNTIF(May19_2023258261263262264265266267268[MEAS],R35)</f>
        <v>44</v>
      </c>
      <c r="S36" s="92">
        <f>COUNTIF(May19_2023258261263262264265266267268[MEAS],S35)</f>
        <v>26</v>
      </c>
      <c r="T36" s="92">
        <f>COUNTIF(May19_2023258261263262264265266267268[MEAS],T35)</f>
        <v>26</v>
      </c>
      <c r="U36" s="92">
        <f>COUNTIF(May19_2023258261263262264265266267268[MEAS],U35)</f>
        <v>19</v>
      </c>
      <c r="V36" s="92">
        <f>COUNTIF(May19_2023258261263262264265266267268[MEAS],V35)</f>
        <v>10</v>
      </c>
      <c r="W36" s="92">
        <f>COUNTIF(May19_2023258261263262264265266267268[MEAS],W35)</f>
        <v>1</v>
      </c>
      <c r="X36" s="92">
        <f>COUNTIF(May19_2023258261263262264265266267268[MEAS],X35)</f>
        <v>4</v>
      </c>
    </row>
    <row r="37" spans="1:24" ht="15.75">
      <c r="A37" s="15">
        <v>32</v>
      </c>
      <c r="B37" s="15" t="s">
        <v>23</v>
      </c>
      <c r="C37" s="33" t="s">
        <v>107</v>
      </c>
      <c r="D37" s="33" t="s">
        <v>463</v>
      </c>
      <c r="E37" s="33" t="s">
        <v>108</v>
      </c>
      <c r="F37" s="33" t="s">
        <v>24</v>
      </c>
      <c r="G37" s="33">
        <v>54000</v>
      </c>
      <c r="H37" s="64">
        <v>0.37222222222222223</v>
      </c>
      <c r="I37" s="64">
        <v>0.47430555555555554</v>
      </c>
      <c r="J37" s="30">
        <f t="shared" si="0"/>
        <v>0.1020833333333333</v>
      </c>
      <c r="K37" s="30" t="str">
        <f t="shared" si="1"/>
        <v>Failed</v>
      </c>
      <c r="L3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37" s="50" t="s">
        <v>353</v>
      </c>
      <c r="O37" s="99" t="s">
        <v>28</v>
      </c>
      <c r="P37" s="99">
        <f>SUM(O36:X36)</f>
        <v>218</v>
      </c>
      <c r="Q37" s="92"/>
      <c r="R37" s="92"/>
      <c r="S37" s="92"/>
      <c r="T37" s="92"/>
      <c r="U37" s="96"/>
      <c r="V37" s="96"/>
      <c r="W37" s="97"/>
      <c r="X37" s="92"/>
    </row>
    <row r="38" spans="1:24">
      <c r="A38" s="15">
        <v>33</v>
      </c>
      <c r="B38" s="15" t="s">
        <v>23</v>
      </c>
      <c r="C38" s="33" t="s">
        <v>146</v>
      </c>
      <c r="D38" s="33" t="s">
        <v>294</v>
      </c>
      <c r="E38" s="33" t="s">
        <v>43</v>
      </c>
      <c r="F38" s="33" t="s">
        <v>24</v>
      </c>
      <c r="G38" s="33">
        <v>49500</v>
      </c>
      <c r="H38" s="64">
        <v>0.4152777777777778</v>
      </c>
      <c r="I38" s="64">
        <v>0.47638888888888892</v>
      </c>
      <c r="J38" s="30">
        <f t="shared" si="0"/>
        <v>6.1111111111111116E-2</v>
      </c>
      <c r="K38" s="30" t="str">
        <f t="shared" si="1"/>
        <v>Passed</v>
      </c>
      <c r="L3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38" s="50"/>
    </row>
    <row r="39" spans="1:24">
      <c r="A39" s="15">
        <v>34</v>
      </c>
      <c r="B39" s="15" t="s">
        <v>23</v>
      </c>
      <c r="C39" s="33" t="s">
        <v>100</v>
      </c>
      <c r="D39" s="33" t="s">
        <v>463</v>
      </c>
      <c r="E39" s="33" t="s">
        <v>29</v>
      </c>
      <c r="F39" s="33" t="s">
        <v>24</v>
      </c>
      <c r="G39" s="33">
        <v>54000</v>
      </c>
      <c r="H39" s="64">
        <v>0.4145833333333333</v>
      </c>
      <c r="I39" s="115">
        <v>0.47222222222222227</v>
      </c>
      <c r="J39" s="30">
        <f t="shared" si="0"/>
        <v>5.7638888888888962E-2</v>
      </c>
      <c r="K39" s="30" t="str">
        <f t="shared" si="1"/>
        <v>Passed</v>
      </c>
      <c r="L3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39" s="50"/>
    </row>
    <row r="40" spans="1:24">
      <c r="A40" s="15">
        <v>35</v>
      </c>
      <c r="B40" s="15" t="s">
        <v>23</v>
      </c>
      <c r="C40" s="33" t="s">
        <v>183</v>
      </c>
      <c r="D40" s="33" t="s">
        <v>161</v>
      </c>
      <c r="E40" s="33" t="s">
        <v>184</v>
      </c>
      <c r="F40" s="33" t="s">
        <v>24</v>
      </c>
      <c r="G40" s="33">
        <v>45000</v>
      </c>
      <c r="H40" s="64">
        <v>0.37083333333333335</v>
      </c>
      <c r="I40" s="64">
        <v>0.46875</v>
      </c>
      <c r="J40" s="30">
        <f t="shared" si="0"/>
        <v>9.7916666666666652E-2</v>
      </c>
      <c r="K40" s="30" t="str">
        <f t="shared" si="1"/>
        <v>Failed</v>
      </c>
      <c r="L4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40" s="50" t="s">
        <v>353</v>
      </c>
    </row>
    <row r="41" spans="1:24">
      <c r="A41" s="15">
        <v>36</v>
      </c>
      <c r="B41" s="15" t="s">
        <v>23</v>
      </c>
      <c r="C41" s="33" t="s">
        <v>283</v>
      </c>
      <c r="D41" s="33" t="s">
        <v>33</v>
      </c>
      <c r="E41" s="33" t="s">
        <v>284</v>
      </c>
      <c r="F41" s="33" t="s">
        <v>31</v>
      </c>
      <c r="G41" s="33">
        <v>54000</v>
      </c>
      <c r="H41" s="64">
        <v>0.3527777777777778</v>
      </c>
      <c r="I41" s="64">
        <v>0.46527777777777773</v>
      </c>
      <c r="J41" s="30">
        <f t="shared" si="0"/>
        <v>0.11249999999999993</v>
      </c>
      <c r="K41" s="30" t="str">
        <f t="shared" si="1"/>
        <v>Failed</v>
      </c>
      <c r="L4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41" s="50" t="s">
        <v>354</v>
      </c>
    </row>
    <row r="42" spans="1:24">
      <c r="A42" s="15">
        <v>37</v>
      </c>
      <c r="B42" s="15" t="s">
        <v>23</v>
      </c>
      <c r="C42" s="33" t="s">
        <v>187</v>
      </c>
      <c r="D42" s="33" t="s">
        <v>85</v>
      </c>
      <c r="E42" s="33" t="s">
        <v>49</v>
      </c>
      <c r="F42" s="33" t="s">
        <v>31</v>
      </c>
      <c r="G42" s="33">
        <v>54000</v>
      </c>
      <c r="H42" s="64">
        <v>0.33888888888888885</v>
      </c>
      <c r="I42" s="64">
        <v>0.44097222222222227</v>
      </c>
      <c r="J42" s="30">
        <f t="shared" si="0"/>
        <v>0.10208333333333341</v>
      </c>
      <c r="K42" s="30" t="str">
        <f t="shared" si="1"/>
        <v>Failed</v>
      </c>
      <c r="L4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42" s="50" t="s">
        <v>354</v>
      </c>
    </row>
    <row r="43" spans="1:24">
      <c r="A43" s="15">
        <v>38</v>
      </c>
      <c r="B43" s="15" t="s">
        <v>23</v>
      </c>
      <c r="C43" s="33" t="s">
        <v>203</v>
      </c>
      <c r="D43" s="33" t="s">
        <v>463</v>
      </c>
      <c r="E43" s="33" t="s">
        <v>89</v>
      </c>
      <c r="F43" s="33" t="s">
        <v>24</v>
      </c>
      <c r="G43" s="33">
        <v>54000</v>
      </c>
      <c r="H43" s="64">
        <v>0.37361111111111112</v>
      </c>
      <c r="I43" s="64">
        <v>0.45833333333333331</v>
      </c>
      <c r="J43" s="30">
        <f t="shared" si="0"/>
        <v>8.4722222222222199E-2</v>
      </c>
      <c r="K43" s="30" t="str">
        <f t="shared" si="1"/>
        <v>Failed</v>
      </c>
      <c r="L4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43" s="50" t="s">
        <v>353</v>
      </c>
    </row>
    <row r="44" spans="1:24">
      <c r="A44" s="15">
        <v>39</v>
      </c>
      <c r="B44" s="15" t="s">
        <v>23</v>
      </c>
      <c r="C44" s="33" t="s">
        <v>40</v>
      </c>
      <c r="D44" s="33" t="s">
        <v>85</v>
      </c>
      <c r="E44" s="33" t="s">
        <v>496</v>
      </c>
      <c r="F44" s="33" t="s">
        <v>31</v>
      </c>
      <c r="G44" s="33">
        <v>54000</v>
      </c>
      <c r="H44" s="64">
        <v>0.28750000000000003</v>
      </c>
      <c r="I44" s="64">
        <v>0.4375</v>
      </c>
      <c r="J44" s="30">
        <f t="shared" si="0"/>
        <v>0.14999999999999997</v>
      </c>
      <c r="K44" s="30" t="str">
        <f t="shared" si="1"/>
        <v>Failed</v>
      </c>
      <c r="L4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x10</v>
      </c>
      <c r="M44" s="50" t="s">
        <v>354</v>
      </c>
    </row>
    <row r="45" spans="1:24">
      <c r="A45" s="15">
        <v>40</v>
      </c>
      <c r="B45" s="15" t="s">
        <v>23</v>
      </c>
      <c r="C45" s="33" t="s">
        <v>205</v>
      </c>
      <c r="D45" s="33" t="s">
        <v>463</v>
      </c>
      <c r="E45" s="33" t="s">
        <v>206</v>
      </c>
      <c r="F45" s="33" t="s">
        <v>24</v>
      </c>
      <c r="G45" s="33">
        <v>54000</v>
      </c>
      <c r="H45" s="64">
        <v>0.34236111111111112</v>
      </c>
      <c r="I45" s="64">
        <v>0.44444444444444442</v>
      </c>
      <c r="J45" s="30">
        <f t="shared" si="0"/>
        <v>0.1020833333333333</v>
      </c>
      <c r="K45" s="30" t="str">
        <f t="shared" si="1"/>
        <v>Failed</v>
      </c>
      <c r="L4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45" s="50" t="s">
        <v>353</v>
      </c>
    </row>
    <row r="46" spans="1:24">
      <c r="A46" s="15">
        <v>41</v>
      </c>
      <c r="B46" s="15" t="s">
        <v>23</v>
      </c>
      <c r="C46" s="33" t="s">
        <v>231</v>
      </c>
      <c r="D46" s="33" t="s">
        <v>463</v>
      </c>
      <c r="E46" s="33" t="s">
        <v>37</v>
      </c>
      <c r="F46" s="33" t="s">
        <v>24</v>
      </c>
      <c r="G46" s="33">
        <v>54000</v>
      </c>
      <c r="H46" s="64">
        <v>0.3611111111111111</v>
      </c>
      <c r="I46" s="64">
        <v>0.43055555555555558</v>
      </c>
      <c r="J46" s="30">
        <f t="shared" si="0"/>
        <v>6.9444444444444475E-2</v>
      </c>
      <c r="K46" s="30" t="str">
        <f t="shared" si="1"/>
        <v>Passed</v>
      </c>
      <c r="L4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46" s="50"/>
    </row>
    <row r="47" spans="1:24">
      <c r="A47" s="15">
        <v>42</v>
      </c>
      <c r="B47" s="15" t="s">
        <v>23</v>
      </c>
      <c r="C47" s="33" t="s">
        <v>204</v>
      </c>
      <c r="D47" s="33" t="s">
        <v>463</v>
      </c>
      <c r="E47" s="33" t="s">
        <v>127</v>
      </c>
      <c r="F47" s="33" t="s">
        <v>31</v>
      </c>
      <c r="G47" s="33">
        <v>54000</v>
      </c>
      <c r="H47" s="64">
        <v>0.34027777777777773</v>
      </c>
      <c r="I47" s="64">
        <v>0.4375</v>
      </c>
      <c r="J47" s="30">
        <f t="shared" si="0"/>
        <v>9.7222222222222265E-2</v>
      </c>
      <c r="K47" s="30" t="str">
        <f t="shared" si="1"/>
        <v>Failed</v>
      </c>
      <c r="L4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47" s="50" t="s">
        <v>354</v>
      </c>
    </row>
    <row r="48" spans="1:24">
      <c r="A48" s="15">
        <v>43</v>
      </c>
      <c r="B48" s="15" t="s">
        <v>23</v>
      </c>
      <c r="C48" s="33" t="s">
        <v>35</v>
      </c>
      <c r="D48" s="33" t="s">
        <v>463</v>
      </c>
      <c r="E48" s="33" t="s">
        <v>104</v>
      </c>
      <c r="F48" s="33" t="s">
        <v>24</v>
      </c>
      <c r="G48" s="33">
        <v>54000</v>
      </c>
      <c r="H48" s="64">
        <v>0.34097222222222223</v>
      </c>
      <c r="I48" s="64">
        <v>0.42708333333333331</v>
      </c>
      <c r="J48" s="30">
        <f t="shared" si="0"/>
        <v>8.6111111111111083E-2</v>
      </c>
      <c r="K48" s="30" t="str">
        <f t="shared" si="1"/>
        <v>Failed</v>
      </c>
      <c r="L4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48" s="50" t="s">
        <v>353</v>
      </c>
    </row>
    <row r="49" spans="1:28">
      <c r="A49" s="15">
        <v>44</v>
      </c>
      <c r="B49" s="15" t="s">
        <v>23</v>
      </c>
      <c r="C49" s="33" t="s">
        <v>158</v>
      </c>
      <c r="D49" s="33" t="s">
        <v>463</v>
      </c>
      <c r="E49" s="33" t="s">
        <v>52</v>
      </c>
      <c r="F49" s="33" t="s">
        <v>31</v>
      </c>
      <c r="G49" s="33">
        <v>54000</v>
      </c>
      <c r="H49" s="64">
        <v>0.33958333333333335</v>
      </c>
      <c r="I49" s="64">
        <v>0.4236111111111111</v>
      </c>
      <c r="J49" s="30">
        <f t="shared" si="0"/>
        <v>8.4027777777777757E-2</v>
      </c>
      <c r="K49" s="30" t="str">
        <f t="shared" si="1"/>
        <v>Failed</v>
      </c>
      <c r="L4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49" s="50" t="s">
        <v>354</v>
      </c>
    </row>
    <row r="50" spans="1:28">
      <c r="A50" s="15">
        <v>45</v>
      </c>
      <c r="B50" s="15" t="s">
        <v>23</v>
      </c>
      <c r="C50" s="33" t="s">
        <v>232</v>
      </c>
      <c r="D50" s="33" t="s">
        <v>463</v>
      </c>
      <c r="E50" s="33" t="s">
        <v>207</v>
      </c>
      <c r="F50" s="33" t="s">
        <v>24</v>
      </c>
      <c r="G50" s="33">
        <v>54000</v>
      </c>
      <c r="H50" s="64">
        <v>0.33958333333333335</v>
      </c>
      <c r="I50" s="64">
        <v>0.4201388888888889</v>
      </c>
      <c r="J50" s="30">
        <f t="shared" si="0"/>
        <v>8.0555555555555547E-2</v>
      </c>
      <c r="K50" s="30" t="str">
        <f t="shared" si="1"/>
        <v>Failed</v>
      </c>
      <c r="L5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50" s="50" t="s">
        <v>353</v>
      </c>
    </row>
    <row r="51" spans="1:28">
      <c r="A51" s="15">
        <v>46</v>
      </c>
      <c r="B51" s="15" t="s">
        <v>23</v>
      </c>
      <c r="C51" s="33" t="s">
        <v>159</v>
      </c>
      <c r="D51" s="33" t="s">
        <v>463</v>
      </c>
      <c r="E51" s="33" t="s">
        <v>87</v>
      </c>
      <c r="F51" s="33" t="s">
        <v>24</v>
      </c>
      <c r="G51" s="33">
        <v>54000</v>
      </c>
      <c r="H51" s="64">
        <v>0.34166666666666662</v>
      </c>
      <c r="I51" s="64">
        <v>0.41388888888888892</v>
      </c>
      <c r="J51" s="30">
        <f t="shared" si="0"/>
        <v>7.2222222222222299E-2</v>
      </c>
      <c r="K51" s="30" t="str">
        <f t="shared" si="1"/>
        <v>Passed</v>
      </c>
      <c r="L5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51" s="50"/>
    </row>
    <row r="52" spans="1:28">
      <c r="A52" s="15">
        <v>47</v>
      </c>
      <c r="B52" s="15" t="s">
        <v>23</v>
      </c>
      <c r="C52" s="33" t="s">
        <v>220</v>
      </c>
      <c r="D52" s="33" t="s">
        <v>33</v>
      </c>
      <c r="E52" s="33" t="s">
        <v>217</v>
      </c>
      <c r="F52" s="33" t="s">
        <v>31</v>
      </c>
      <c r="G52" s="33">
        <v>54000</v>
      </c>
      <c r="H52" s="64">
        <v>0.30277777777777776</v>
      </c>
      <c r="I52" s="64">
        <v>0.40277777777777773</v>
      </c>
      <c r="J52" s="30">
        <f t="shared" si="0"/>
        <v>9.9999999999999978E-2</v>
      </c>
      <c r="K52" s="30" t="str">
        <f t="shared" si="1"/>
        <v>Failed</v>
      </c>
      <c r="L5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52" s="50" t="s">
        <v>354</v>
      </c>
    </row>
    <row r="53" spans="1:28">
      <c r="A53" s="15">
        <v>48</v>
      </c>
      <c r="B53" s="15" t="s">
        <v>23</v>
      </c>
      <c r="C53" s="33" t="s">
        <v>41</v>
      </c>
      <c r="D53" s="33" t="s">
        <v>463</v>
      </c>
      <c r="E53" s="33" t="s">
        <v>464</v>
      </c>
      <c r="F53" s="33" t="s">
        <v>31</v>
      </c>
      <c r="G53" s="33">
        <v>54000</v>
      </c>
      <c r="H53" s="64">
        <v>0.30416666666666664</v>
      </c>
      <c r="I53" s="64">
        <v>0.40138888888888885</v>
      </c>
      <c r="J53" s="30">
        <f t="shared" si="0"/>
        <v>9.722222222222221E-2</v>
      </c>
      <c r="K53" s="30" t="str">
        <f t="shared" si="1"/>
        <v>Failed</v>
      </c>
      <c r="L5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53" s="50" t="s">
        <v>354</v>
      </c>
    </row>
    <row r="54" spans="1:28">
      <c r="A54" s="15">
        <v>49</v>
      </c>
      <c r="B54" s="15" t="s">
        <v>23</v>
      </c>
      <c r="C54" s="33" t="s">
        <v>344</v>
      </c>
      <c r="D54" s="33" t="s">
        <v>85</v>
      </c>
      <c r="E54" s="33" t="s">
        <v>145</v>
      </c>
      <c r="F54" s="33" t="s">
        <v>31</v>
      </c>
      <c r="G54" s="33">
        <v>54000</v>
      </c>
      <c r="H54" s="64">
        <v>0.28819444444444448</v>
      </c>
      <c r="I54" s="64">
        <v>0.39583333333333331</v>
      </c>
      <c r="J54" s="30">
        <f t="shared" si="0"/>
        <v>0.10763888888888884</v>
      </c>
      <c r="K54" s="30" t="str">
        <f t="shared" si="1"/>
        <v>Failed</v>
      </c>
      <c r="L5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54" s="50" t="s">
        <v>354</v>
      </c>
    </row>
    <row r="55" spans="1:28">
      <c r="A55" s="15">
        <v>50</v>
      </c>
      <c r="B55" s="15" t="s">
        <v>23</v>
      </c>
      <c r="C55" s="33" t="s">
        <v>144</v>
      </c>
      <c r="D55" s="33" t="s">
        <v>463</v>
      </c>
      <c r="E55" s="33" t="s">
        <v>89</v>
      </c>
      <c r="F55" s="33" t="s">
        <v>24</v>
      </c>
      <c r="G55" s="33">
        <v>54000</v>
      </c>
      <c r="H55" s="64">
        <v>0.32569444444444445</v>
      </c>
      <c r="I55" s="64">
        <v>0.41666666666666669</v>
      </c>
      <c r="J55" s="30">
        <f t="shared" si="0"/>
        <v>9.0972222222222232E-2</v>
      </c>
      <c r="K55" s="30" t="str">
        <f t="shared" si="1"/>
        <v>Failed</v>
      </c>
      <c r="L5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55" s="50" t="s">
        <v>353</v>
      </c>
    </row>
    <row r="56" spans="1:28">
      <c r="A56" s="15">
        <v>51</v>
      </c>
      <c r="B56" s="15" t="s">
        <v>23</v>
      </c>
      <c r="C56" s="33" t="s">
        <v>94</v>
      </c>
      <c r="D56" s="33" t="s">
        <v>463</v>
      </c>
      <c r="E56" s="33" t="s">
        <v>39</v>
      </c>
      <c r="F56" s="33" t="s">
        <v>24</v>
      </c>
      <c r="G56" s="33">
        <v>54000</v>
      </c>
      <c r="H56" s="64">
        <v>0.31527777777777777</v>
      </c>
      <c r="I56" s="64">
        <v>0.3923611111111111</v>
      </c>
      <c r="J56" s="30">
        <f t="shared" si="0"/>
        <v>7.7083333333333337E-2</v>
      </c>
      <c r="K56" s="30" t="str">
        <f t="shared" si="1"/>
        <v>Failed</v>
      </c>
      <c r="L5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56" s="50" t="s">
        <v>353</v>
      </c>
    </row>
    <row r="57" spans="1:28">
      <c r="A57" s="15">
        <v>52</v>
      </c>
      <c r="B57" s="15" t="s">
        <v>23</v>
      </c>
      <c r="C57" s="33" t="s">
        <v>32</v>
      </c>
      <c r="D57" s="33" t="s">
        <v>463</v>
      </c>
      <c r="E57" s="33" t="s">
        <v>34</v>
      </c>
      <c r="F57" s="33" t="s">
        <v>24</v>
      </c>
      <c r="G57" s="33">
        <v>54000</v>
      </c>
      <c r="H57" s="64">
        <v>0.31388888888888888</v>
      </c>
      <c r="I57" s="64">
        <v>0.3888888888888889</v>
      </c>
      <c r="J57" s="30">
        <f t="shared" si="0"/>
        <v>7.5000000000000011E-2</v>
      </c>
      <c r="K57" s="30" t="str">
        <f t="shared" si="1"/>
        <v>Failed</v>
      </c>
      <c r="L5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57" s="50" t="s">
        <v>353</v>
      </c>
    </row>
    <row r="58" spans="1:28">
      <c r="A58" s="15">
        <v>53</v>
      </c>
      <c r="B58" s="15" t="s">
        <v>23</v>
      </c>
      <c r="C58" s="33" t="s">
        <v>106</v>
      </c>
      <c r="D58" s="33" t="s">
        <v>463</v>
      </c>
      <c r="E58" s="33" t="s">
        <v>101</v>
      </c>
      <c r="F58" s="33" t="s">
        <v>24</v>
      </c>
      <c r="G58" s="33">
        <v>54000</v>
      </c>
      <c r="H58" s="64">
        <v>0.32500000000000001</v>
      </c>
      <c r="I58" s="64">
        <v>0.38541666666666669</v>
      </c>
      <c r="J58" s="30">
        <f t="shared" si="0"/>
        <v>6.0416666666666674E-2</v>
      </c>
      <c r="K58" s="30" t="str">
        <f t="shared" si="1"/>
        <v>Passed</v>
      </c>
      <c r="L5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58" s="50"/>
    </row>
    <row r="59" spans="1:28">
      <c r="A59" s="15">
        <v>54</v>
      </c>
      <c r="B59" s="15" t="s">
        <v>23</v>
      </c>
      <c r="C59" s="33" t="s">
        <v>88</v>
      </c>
      <c r="D59" s="33" t="s">
        <v>463</v>
      </c>
      <c r="E59" s="33" t="s">
        <v>89</v>
      </c>
      <c r="F59" s="33" t="s">
        <v>24</v>
      </c>
      <c r="G59" s="33">
        <v>54000</v>
      </c>
      <c r="H59" s="64">
        <v>0.31458333333333333</v>
      </c>
      <c r="I59" s="64">
        <v>0.38194444444444442</v>
      </c>
      <c r="J59" s="30">
        <f t="shared" si="0"/>
        <v>6.7361111111111094E-2</v>
      </c>
      <c r="K59" s="30" t="str">
        <f t="shared" si="1"/>
        <v>Passed</v>
      </c>
      <c r="L5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59" s="50"/>
    </row>
    <row r="60" spans="1:28">
      <c r="A60" s="15">
        <v>55</v>
      </c>
      <c r="B60" s="15" t="s">
        <v>23</v>
      </c>
      <c r="C60" s="33" t="s">
        <v>172</v>
      </c>
      <c r="D60" s="33" t="s">
        <v>463</v>
      </c>
      <c r="E60" s="33" t="s">
        <v>112</v>
      </c>
      <c r="F60" s="33" t="s">
        <v>24</v>
      </c>
      <c r="G60" s="33">
        <v>54000</v>
      </c>
      <c r="H60" s="64">
        <v>0.28541666666666665</v>
      </c>
      <c r="I60" s="64">
        <v>0.37847222222222227</v>
      </c>
      <c r="J60" s="30">
        <f t="shared" si="0"/>
        <v>9.3055555555555614E-2</v>
      </c>
      <c r="K60" s="30" t="str">
        <f t="shared" si="1"/>
        <v>Failed</v>
      </c>
      <c r="L6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60" s="50" t="s">
        <v>353</v>
      </c>
    </row>
    <row r="61" spans="1:28" ht="15.75">
      <c r="A61" s="15">
        <v>56</v>
      </c>
      <c r="B61" s="15" t="s">
        <v>23</v>
      </c>
      <c r="C61" s="33" t="s">
        <v>338</v>
      </c>
      <c r="D61" s="33" t="s">
        <v>463</v>
      </c>
      <c r="E61" s="33" t="s">
        <v>37</v>
      </c>
      <c r="F61" s="33" t="s">
        <v>24</v>
      </c>
      <c r="G61" s="33">
        <v>54000</v>
      </c>
      <c r="H61" s="64">
        <v>0.31319444444444444</v>
      </c>
      <c r="I61" s="64">
        <v>0.375</v>
      </c>
      <c r="J61" s="30">
        <f t="shared" si="0"/>
        <v>6.1805555555555558E-2</v>
      </c>
      <c r="K61" s="30" t="str">
        <f t="shared" si="1"/>
        <v>Passed</v>
      </c>
      <c r="L6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61" s="50"/>
      <c r="O61" s="100" t="s">
        <v>356</v>
      </c>
    </row>
    <row r="62" spans="1:28">
      <c r="A62" s="15">
        <v>57</v>
      </c>
      <c r="B62" s="15" t="s">
        <v>23</v>
      </c>
      <c r="C62" s="33" t="s">
        <v>98</v>
      </c>
      <c r="D62" s="33" t="s">
        <v>463</v>
      </c>
      <c r="E62" s="33" t="s">
        <v>99</v>
      </c>
      <c r="F62" s="33" t="s">
        <v>31</v>
      </c>
      <c r="G62" s="33">
        <v>54000</v>
      </c>
      <c r="H62" s="64">
        <v>0.3034722222222222</v>
      </c>
      <c r="I62" s="64">
        <v>0.37361111111111112</v>
      </c>
      <c r="J62" s="30">
        <f t="shared" si="0"/>
        <v>7.0138888888888917E-2</v>
      </c>
      <c r="K62" s="30" t="str">
        <f t="shared" si="1"/>
        <v>Passed</v>
      </c>
      <c r="L6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62" s="50"/>
      <c r="O62" s="96" t="s">
        <v>354</v>
      </c>
      <c r="P62" s="96" t="s">
        <v>519</v>
      </c>
      <c r="Q62" s="96" t="s">
        <v>511</v>
      </c>
      <c r="R62" s="96" t="s">
        <v>509</v>
      </c>
      <c r="S62" s="96" t="s">
        <v>515</v>
      </c>
      <c r="T62" s="96" t="s">
        <v>513</v>
      </c>
      <c r="U62" s="96" t="s">
        <v>362</v>
      </c>
      <c r="V62" s="96" t="s">
        <v>363</v>
      </c>
      <c r="W62" s="96" t="s">
        <v>364</v>
      </c>
      <c r="X62" s="96" t="s">
        <v>353</v>
      </c>
      <c r="Y62" s="96" t="s">
        <v>352</v>
      </c>
      <c r="Z62" s="96" t="s">
        <v>365</v>
      </c>
      <c r="AA62" s="101" t="s">
        <v>517</v>
      </c>
      <c r="AB62" s="101" t="s">
        <v>388</v>
      </c>
    </row>
    <row r="63" spans="1:28" s="102" customFormat="1" ht="28.5">
      <c r="A63" s="15">
        <v>58</v>
      </c>
      <c r="B63" s="15" t="s">
        <v>23</v>
      </c>
      <c r="C63" s="33" t="s">
        <v>293</v>
      </c>
      <c r="D63" s="33" t="s">
        <v>463</v>
      </c>
      <c r="E63" s="33" t="s">
        <v>45</v>
      </c>
      <c r="F63" s="33" t="s">
        <v>24</v>
      </c>
      <c r="G63" s="33">
        <v>54000</v>
      </c>
      <c r="H63" s="64">
        <v>0.24791666666666667</v>
      </c>
      <c r="I63" s="64">
        <v>0.33263888888888887</v>
      </c>
      <c r="J63" s="30">
        <f t="shared" si="0"/>
        <v>8.4722222222222199E-2</v>
      </c>
      <c r="K63" s="30" t="str">
        <f t="shared" si="1"/>
        <v>Failed</v>
      </c>
      <c r="L6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63" s="50" t="s">
        <v>353</v>
      </c>
      <c r="N63" s="65"/>
      <c r="O63" s="103" t="s">
        <v>366</v>
      </c>
      <c r="P63" s="103" t="s">
        <v>518</v>
      </c>
      <c r="Q63" s="103" t="s">
        <v>510</v>
      </c>
      <c r="R63" s="103" t="s">
        <v>508</v>
      </c>
      <c r="S63" s="103" t="s">
        <v>514</v>
      </c>
      <c r="T63" s="103" t="s">
        <v>512</v>
      </c>
      <c r="U63" s="103" t="s">
        <v>372</v>
      </c>
      <c r="V63" s="103" t="s">
        <v>373</v>
      </c>
      <c r="W63" s="103" t="s">
        <v>374</v>
      </c>
      <c r="X63" s="103" t="s">
        <v>375</v>
      </c>
      <c r="Y63" s="103" t="s">
        <v>376</v>
      </c>
      <c r="Z63" s="103" t="s">
        <v>377</v>
      </c>
      <c r="AA63" s="104" t="s">
        <v>516</v>
      </c>
      <c r="AB63" s="104" t="s">
        <v>389</v>
      </c>
    </row>
    <row r="64" spans="1:28">
      <c r="A64" s="15">
        <v>59</v>
      </c>
      <c r="B64" s="15" t="s">
        <v>23</v>
      </c>
      <c r="C64" s="33" t="s">
        <v>83</v>
      </c>
      <c r="D64" s="33" t="s">
        <v>463</v>
      </c>
      <c r="E64" s="33" t="s">
        <v>84</v>
      </c>
      <c r="F64" s="33" t="s">
        <v>24</v>
      </c>
      <c r="G64" s="33">
        <v>54000</v>
      </c>
      <c r="H64" s="64">
        <v>0.28680555555555554</v>
      </c>
      <c r="I64" s="64">
        <v>0.37152777777777773</v>
      </c>
      <c r="J64" s="30">
        <f t="shared" si="0"/>
        <v>8.4722222222222199E-2</v>
      </c>
      <c r="K64" s="30" t="str">
        <f t="shared" si="1"/>
        <v>Failed</v>
      </c>
      <c r="L6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64" s="50" t="s">
        <v>353</v>
      </c>
      <c r="O64" s="92">
        <f>COUNTIF(May19_2023258261263262264265266267268[CR],O62)</f>
        <v>25</v>
      </c>
      <c r="P64" s="92">
        <f>COUNTIF(May19_2023258261263262264265266267268[CR],P62)</f>
        <v>1</v>
      </c>
      <c r="Q64" s="92">
        <f>COUNTIF(May19_2023258261263262264265266267268[CR],Q62)</f>
        <v>0</v>
      </c>
      <c r="R64" s="92">
        <f>COUNTIF(May19_2023258261263262264265266267268[CR],R62)</f>
        <v>0</v>
      </c>
      <c r="S64" s="92">
        <f>COUNTIF(May19_2023258261263262264265266267268[CR],S62)</f>
        <v>0</v>
      </c>
      <c r="T64" s="92">
        <f>COUNTIF(May19_2023258261263262264265266267268[CR],T62)</f>
        <v>0</v>
      </c>
      <c r="U64" s="92">
        <f>COUNTIF(May19_2023258261263262264265266267268[CR],U62)</f>
        <v>0</v>
      </c>
      <c r="V64" s="92">
        <f>COUNTIF(May19_2023258261263262264265266267268[CR],V62)</f>
        <v>0</v>
      </c>
      <c r="W64" s="92">
        <f>COUNTIF(May19_2023258261263262264265266267268[CR],W62)</f>
        <v>0</v>
      </c>
      <c r="X64" s="92">
        <f>COUNTIF(May19_2023258261263262264265266267268[CR],X62)</f>
        <v>46</v>
      </c>
      <c r="Y64" s="92">
        <f>COUNTIF(May19_2023258261263262264265266267268[CR],Y62)</f>
        <v>0</v>
      </c>
      <c r="Z64" s="92">
        <f>COUNTIF(May19_2023258261263262264265266267268[CR],Z62)</f>
        <v>0</v>
      </c>
      <c r="AA64" s="105">
        <f>COUNTIF(May19_2023258261263262264265266267268[CR],AA62)</f>
        <v>0</v>
      </c>
      <c r="AB64" s="105">
        <f>COUNTIF(May19_2023258261263262264265266267268[CR],AB62)</f>
        <v>0</v>
      </c>
    </row>
    <row r="65" spans="1:28" ht="15.75">
      <c r="A65" s="15">
        <v>60</v>
      </c>
      <c r="B65" s="15" t="s">
        <v>23</v>
      </c>
      <c r="C65" s="33" t="s">
        <v>157</v>
      </c>
      <c r="D65" s="33" t="s">
        <v>463</v>
      </c>
      <c r="E65" s="33" t="s">
        <v>141</v>
      </c>
      <c r="F65" s="33" t="s">
        <v>24</v>
      </c>
      <c r="G65" s="33">
        <v>54000</v>
      </c>
      <c r="H65" s="64">
        <v>0.28611111111111115</v>
      </c>
      <c r="I65" s="64">
        <v>0.36805555555555558</v>
      </c>
      <c r="J65" s="30">
        <f t="shared" si="0"/>
        <v>8.1944444444444431E-2</v>
      </c>
      <c r="K65" s="30" t="str">
        <f t="shared" si="1"/>
        <v>Failed</v>
      </c>
      <c r="L6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65" s="50" t="s">
        <v>353</v>
      </c>
      <c r="O65" s="99" t="s">
        <v>28</v>
      </c>
      <c r="P65" s="99">
        <f>SUM(O64:AB64)</f>
        <v>72</v>
      </c>
      <c r="Q65" s="92"/>
      <c r="R65" s="92"/>
      <c r="S65" s="92"/>
      <c r="T65" s="92"/>
      <c r="U65" s="96"/>
      <c r="V65" s="96"/>
      <c r="W65" s="97"/>
      <c r="X65" s="92"/>
      <c r="Y65" s="92"/>
      <c r="Z65" s="92"/>
      <c r="AA65" s="105"/>
      <c r="AB65" s="105"/>
    </row>
    <row r="66" spans="1:28">
      <c r="A66" s="15">
        <v>61</v>
      </c>
      <c r="B66" s="15" t="s">
        <v>23</v>
      </c>
      <c r="C66" s="33" t="s">
        <v>53</v>
      </c>
      <c r="D66" s="33" t="s">
        <v>463</v>
      </c>
      <c r="E66" s="33" t="s">
        <v>54</v>
      </c>
      <c r="F66" s="33" t="s">
        <v>24</v>
      </c>
      <c r="G66" s="33">
        <v>54000</v>
      </c>
      <c r="H66" s="64">
        <v>0.28472222222222221</v>
      </c>
      <c r="I66" s="64">
        <v>0.3611111111111111</v>
      </c>
      <c r="J66" s="30">
        <f t="shared" si="0"/>
        <v>7.6388888888888895E-2</v>
      </c>
      <c r="K66" s="30" t="str">
        <f t="shared" si="1"/>
        <v>Failed</v>
      </c>
      <c r="L6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66" s="50" t="s">
        <v>353</v>
      </c>
    </row>
    <row r="67" spans="1:28">
      <c r="A67" s="15">
        <v>62</v>
      </c>
      <c r="B67" s="15" t="s">
        <v>23</v>
      </c>
      <c r="C67" s="33" t="s">
        <v>195</v>
      </c>
      <c r="D67" s="33" t="s">
        <v>463</v>
      </c>
      <c r="E67" s="33" t="s">
        <v>92</v>
      </c>
      <c r="F67" s="33" t="s">
        <v>24</v>
      </c>
      <c r="G67" s="33">
        <v>54000</v>
      </c>
      <c r="H67" s="64">
        <v>0.28402777777777777</v>
      </c>
      <c r="I67" s="64">
        <v>0.35069444444444442</v>
      </c>
      <c r="J67" s="30">
        <f t="shared" si="0"/>
        <v>6.6666666666666652E-2</v>
      </c>
      <c r="K67" s="30" t="str">
        <f t="shared" si="1"/>
        <v>Passed</v>
      </c>
      <c r="L6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67" s="50"/>
    </row>
    <row r="68" spans="1:28" s="106" customFormat="1">
      <c r="A68" s="15">
        <v>63</v>
      </c>
      <c r="B68" s="15" t="s">
        <v>23</v>
      </c>
      <c r="C68" s="33" t="s">
        <v>295</v>
      </c>
      <c r="D68" s="33" t="s">
        <v>85</v>
      </c>
      <c r="E68" s="33" t="s">
        <v>86</v>
      </c>
      <c r="F68" s="33" t="s">
        <v>31</v>
      </c>
      <c r="G68" s="33">
        <v>54000</v>
      </c>
      <c r="H68" s="64">
        <v>0.24930555555555556</v>
      </c>
      <c r="I68" s="64">
        <v>0.35416666666666669</v>
      </c>
      <c r="J68" s="30">
        <f t="shared" si="0"/>
        <v>0.10486111111111113</v>
      </c>
      <c r="K68" s="30" t="str">
        <f t="shared" si="1"/>
        <v>Failed</v>
      </c>
      <c r="L6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68" s="50" t="s">
        <v>354</v>
      </c>
      <c r="N68" s="65"/>
    </row>
    <row r="69" spans="1:28" s="106" customFormat="1">
      <c r="A69" s="15">
        <v>64</v>
      </c>
      <c r="B69" s="15" t="s">
        <v>23</v>
      </c>
      <c r="C69" s="33" t="s">
        <v>126</v>
      </c>
      <c r="D69" s="33" t="s">
        <v>463</v>
      </c>
      <c r="E69" s="33" t="s">
        <v>127</v>
      </c>
      <c r="F69" s="33" t="s">
        <v>31</v>
      </c>
      <c r="G69" s="33">
        <v>54000</v>
      </c>
      <c r="H69" s="64">
        <v>0.28680555555555554</v>
      </c>
      <c r="I69" s="64">
        <v>0.34722222222222227</v>
      </c>
      <c r="J69" s="30">
        <f t="shared" si="0"/>
        <v>6.041666666666673E-2</v>
      </c>
      <c r="K69" s="30" t="str">
        <f t="shared" si="1"/>
        <v>Passed</v>
      </c>
      <c r="L6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69" s="50"/>
      <c r="N69" s="65"/>
    </row>
    <row r="70" spans="1:28" s="106" customFormat="1">
      <c r="A70" s="15">
        <v>65</v>
      </c>
      <c r="B70" s="15" t="s">
        <v>23</v>
      </c>
      <c r="C70" s="33" t="s">
        <v>111</v>
      </c>
      <c r="D70" s="33" t="s">
        <v>463</v>
      </c>
      <c r="E70" s="33" t="s">
        <v>99</v>
      </c>
      <c r="F70" s="33" t="s">
        <v>24</v>
      </c>
      <c r="G70" s="33">
        <v>54000</v>
      </c>
      <c r="H70" s="64">
        <v>0.28333333333333333</v>
      </c>
      <c r="I70" s="64">
        <v>0.34375</v>
      </c>
      <c r="J70" s="30">
        <f t="shared" si="0"/>
        <v>6.0416666666666674E-2</v>
      </c>
      <c r="K70" s="30" t="str">
        <f t="shared" ref="K70:K133" si="2">IF(G70&lt;$H$3,"No Remarks",IF(AND(G70&gt;=$H$3,J70&lt;=$D$3),"Passed","Failed"))</f>
        <v>Passed</v>
      </c>
      <c r="L7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70" s="50"/>
      <c r="N70" s="65"/>
    </row>
    <row r="71" spans="1:28" s="106" customFormat="1">
      <c r="A71" s="15">
        <v>66</v>
      </c>
      <c r="B71" s="15" t="s">
        <v>23</v>
      </c>
      <c r="C71" s="33" t="s">
        <v>198</v>
      </c>
      <c r="D71" s="33" t="s">
        <v>463</v>
      </c>
      <c r="E71" s="33" t="s">
        <v>196</v>
      </c>
      <c r="F71" s="33" t="s">
        <v>31</v>
      </c>
      <c r="G71" s="33">
        <v>54000</v>
      </c>
      <c r="H71" s="64">
        <v>0.24374999999999999</v>
      </c>
      <c r="I71" s="64">
        <v>0.33680555555555558</v>
      </c>
      <c r="J71" s="30">
        <f t="shared" si="0"/>
        <v>9.3055555555555586E-2</v>
      </c>
      <c r="K71" s="30" t="str">
        <f t="shared" si="2"/>
        <v>Failed</v>
      </c>
      <c r="L7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71" s="50" t="s">
        <v>354</v>
      </c>
      <c r="N71" s="65"/>
    </row>
    <row r="72" spans="1:28" s="106" customFormat="1">
      <c r="A72" s="15">
        <v>67</v>
      </c>
      <c r="B72" s="15" t="s">
        <v>23</v>
      </c>
      <c r="C72" s="33" t="s">
        <v>197</v>
      </c>
      <c r="D72" s="33" t="s">
        <v>85</v>
      </c>
      <c r="E72" s="33" t="s">
        <v>494</v>
      </c>
      <c r="F72" s="33" t="s">
        <v>31</v>
      </c>
      <c r="G72" s="33">
        <v>54000</v>
      </c>
      <c r="H72" s="64">
        <v>0.24236111111111111</v>
      </c>
      <c r="I72" s="64">
        <v>0.33333333333333331</v>
      </c>
      <c r="J72" s="30">
        <f t="shared" ref="J72:J135" si="3">I72-H72</f>
        <v>9.0972222222222204E-2</v>
      </c>
      <c r="K72" s="30" t="str">
        <f t="shared" si="2"/>
        <v>Failed</v>
      </c>
      <c r="L7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72" s="50" t="s">
        <v>354</v>
      </c>
      <c r="N72" s="65"/>
    </row>
    <row r="73" spans="1:28" s="106" customFormat="1">
      <c r="A73" s="15">
        <v>68</v>
      </c>
      <c r="B73" s="15" t="s">
        <v>23</v>
      </c>
      <c r="C73" s="33" t="s">
        <v>56</v>
      </c>
      <c r="D73" s="33" t="s">
        <v>33</v>
      </c>
      <c r="E73" s="33" t="s">
        <v>46</v>
      </c>
      <c r="F73" s="33" t="s">
        <v>31</v>
      </c>
      <c r="G73" s="33">
        <v>54000</v>
      </c>
      <c r="H73" s="64">
        <v>0.24305555555555555</v>
      </c>
      <c r="I73" s="64">
        <v>0.34027777777777773</v>
      </c>
      <c r="J73" s="30">
        <f t="shared" si="3"/>
        <v>9.7222222222222182E-2</v>
      </c>
      <c r="K73" s="30" t="str">
        <f t="shared" si="2"/>
        <v>Failed</v>
      </c>
      <c r="L7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73" s="50" t="s">
        <v>354</v>
      </c>
      <c r="N73" s="65"/>
    </row>
    <row r="74" spans="1:28" s="106" customFormat="1">
      <c r="A74" s="15">
        <v>69</v>
      </c>
      <c r="B74" s="15" t="s">
        <v>23</v>
      </c>
      <c r="C74" s="33" t="s">
        <v>249</v>
      </c>
      <c r="D74" s="33" t="s">
        <v>463</v>
      </c>
      <c r="E74" s="33" t="s">
        <v>84</v>
      </c>
      <c r="F74" s="33" t="s">
        <v>24</v>
      </c>
      <c r="G74" s="33">
        <v>54000</v>
      </c>
      <c r="H74" s="64">
        <v>0.25277777777777777</v>
      </c>
      <c r="I74" s="64">
        <v>0.33124999999999999</v>
      </c>
      <c r="J74" s="30">
        <f t="shared" si="3"/>
        <v>7.8472222222222221E-2</v>
      </c>
      <c r="K74" s="30" t="str">
        <f t="shared" si="2"/>
        <v>Failed</v>
      </c>
      <c r="L7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74" s="50" t="s">
        <v>353</v>
      </c>
      <c r="N74" s="65"/>
    </row>
    <row r="75" spans="1:28" s="106" customFormat="1">
      <c r="A75" s="15">
        <v>70</v>
      </c>
      <c r="B75" s="15" t="s">
        <v>23</v>
      </c>
      <c r="C75" s="33" t="s">
        <v>297</v>
      </c>
      <c r="D75" s="33" t="s">
        <v>463</v>
      </c>
      <c r="E75" s="33" t="s">
        <v>26</v>
      </c>
      <c r="F75" s="33" t="s">
        <v>24</v>
      </c>
      <c r="G75" s="33">
        <v>54000</v>
      </c>
      <c r="H75" s="64">
        <v>0.25208333333333333</v>
      </c>
      <c r="I75" s="64">
        <v>0.3298611111111111</v>
      </c>
      <c r="J75" s="30">
        <f t="shared" si="3"/>
        <v>7.7777777777777779E-2</v>
      </c>
      <c r="K75" s="30" t="str">
        <f t="shared" si="2"/>
        <v>Failed</v>
      </c>
      <c r="L7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75" s="50" t="s">
        <v>353</v>
      </c>
      <c r="N75" s="65"/>
    </row>
    <row r="76" spans="1:28">
      <c r="A76" s="15">
        <v>71</v>
      </c>
      <c r="B76" s="15" t="s">
        <v>23</v>
      </c>
      <c r="C76" s="33" t="s">
        <v>55</v>
      </c>
      <c r="D76" s="33" t="s">
        <v>463</v>
      </c>
      <c r="E76" s="33" t="s">
        <v>26</v>
      </c>
      <c r="F76" s="33" t="s">
        <v>24</v>
      </c>
      <c r="G76" s="33">
        <v>54000</v>
      </c>
      <c r="H76" s="64">
        <v>0.25347222222222221</v>
      </c>
      <c r="I76" s="64">
        <v>0.3263888888888889</v>
      </c>
      <c r="J76" s="30">
        <f t="shared" si="3"/>
        <v>7.2916666666666685E-2</v>
      </c>
      <c r="K76" s="30" t="str">
        <f t="shared" si="2"/>
        <v>Passed</v>
      </c>
      <c r="L7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76" s="50"/>
    </row>
    <row r="77" spans="1:28">
      <c r="A77" s="15">
        <v>72</v>
      </c>
      <c r="B77" s="15" t="s">
        <v>57</v>
      </c>
      <c r="C77" s="33" t="s">
        <v>436</v>
      </c>
      <c r="D77" s="33" t="s">
        <v>393</v>
      </c>
      <c r="E77" s="33" t="s">
        <v>137</v>
      </c>
      <c r="F77" s="33" t="s">
        <v>31</v>
      </c>
      <c r="G77" s="33">
        <v>54000</v>
      </c>
      <c r="H77" s="64">
        <v>0.84027777777777779</v>
      </c>
      <c r="I77" s="64">
        <v>0.88888888888888884</v>
      </c>
      <c r="J77" s="30">
        <f t="shared" si="3"/>
        <v>4.8611111111111049E-2</v>
      </c>
      <c r="K77" s="30" t="str">
        <f t="shared" si="2"/>
        <v>Passed</v>
      </c>
      <c r="L7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77" s="50"/>
    </row>
    <row r="78" spans="1:28">
      <c r="A78" s="15">
        <v>73</v>
      </c>
      <c r="B78" s="15" t="s">
        <v>57</v>
      </c>
      <c r="C78" s="33" t="s">
        <v>227</v>
      </c>
      <c r="D78" s="33" t="s">
        <v>188</v>
      </c>
      <c r="E78" s="33" t="s">
        <v>189</v>
      </c>
      <c r="F78" s="33" t="s">
        <v>31</v>
      </c>
      <c r="G78" s="33">
        <v>54000</v>
      </c>
      <c r="H78" s="64">
        <v>0.81111111111111101</v>
      </c>
      <c r="I78" s="64">
        <v>0.87847222222222221</v>
      </c>
      <c r="J78" s="30">
        <f t="shared" si="3"/>
        <v>6.7361111111111205E-2</v>
      </c>
      <c r="K78" s="30" t="str">
        <f t="shared" si="2"/>
        <v>Passed</v>
      </c>
      <c r="L7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78" s="50"/>
    </row>
    <row r="79" spans="1:28">
      <c r="A79" s="15">
        <v>74</v>
      </c>
      <c r="B79" s="15" t="s">
        <v>57</v>
      </c>
      <c r="C79" s="33" t="s">
        <v>476</v>
      </c>
      <c r="D79" s="33" t="s">
        <v>393</v>
      </c>
      <c r="E79" s="33" t="s">
        <v>176</v>
      </c>
      <c r="F79" s="33" t="s">
        <v>31</v>
      </c>
      <c r="G79" s="33">
        <v>13500</v>
      </c>
      <c r="H79" s="64">
        <v>0.82986111111111116</v>
      </c>
      <c r="I79" s="64">
        <v>0.875</v>
      </c>
      <c r="J79" s="30">
        <f t="shared" si="3"/>
        <v>4.513888888888884E-2</v>
      </c>
      <c r="K79" s="30" t="str">
        <f t="shared" si="2"/>
        <v>No Remarks</v>
      </c>
      <c r="L7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79" s="50"/>
    </row>
    <row r="80" spans="1:28">
      <c r="A80" s="15">
        <v>75</v>
      </c>
      <c r="B80" s="15" t="s">
        <v>57</v>
      </c>
      <c r="C80" s="33" t="s">
        <v>154</v>
      </c>
      <c r="D80" s="33" t="s">
        <v>64</v>
      </c>
      <c r="E80" s="33" t="s">
        <v>152</v>
      </c>
      <c r="F80" s="33" t="s">
        <v>31</v>
      </c>
      <c r="G80" s="33">
        <v>27000</v>
      </c>
      <c r="H80" s="64">
        <v>0.82986111111111116</v>
      </c>
      <c r="I80" s="64">
        <v>0.87152777777777779</v>
      </c>
      <c r="J80" s="30">
        <f t="shared" si="3"/>
        <v>4.166666666666663E-2</v>
      </c>
      <c r="K80" s="30" t="str">
        <f t="shared" si="2"/>
        <v>No Remarks</v>
      </c>
      <c r="L8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80" s="50"/>
    </row>
    <row r="81" spans="1:13">
      <c r="A81" s="15">
        <v>76</v>
      </c>
      <c r="B81" s="15" t="s">
        <v>57</v>
      </c>
      <c r="C81" s="33" t="s">
        <v>192</v>
      </c>
      <c r="D81" s="33" t="s">
        <v>452</v>
      </c>
      <c r="E81" s="33" t="s">
        <v>521</v>
      </c>
      <c r="F81" s="33" t="s">
        <v>31</v>
      </c>
      <c r="G81" s="33">
        <v>13500</v>
      </c>
      <c r="H81" s="64">
        <v>0.82986111111111116</v>
      </c>
      <c r="I81" s="64">
        <v>0.86458333333333337</v>
      </c>
      <c r="J81" s="30">
        <f t="shared" si="3"/>
        <v>3.472222222222221E-2</v>
      </c>
      <c r="K81" s="30" t="str">
        <f t="shared" si="2"/>
        <v>No Remarks</v>
      </c>
      <c r="L8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81" s="50"/>
    </row>
    <row r="82" spans="1:13">
      <c r="A82" s="15">
        <v>77</v>
      </c>
      <c r="B82" s="15" t="s">
        <v>57</v>
      </c>
      <c r="C82" s="33" t="s">
        <v>503</v>
      </c>
      <c r="D82" s="33" t="s">
        <v>64</v>
      </c>
      <c r="E82" s="33" t="s">
        <v>342</v>
      </c>
      <c r="F82" s="33" t="s">
        <v>31</v>
      </c>
      <c r="G82" s="33">
        <v>54000</v>
      </c>
      <c r="H82" s="64">
        <v>0.79166666666666663</v>
      </c>
      <c r="I82" s="64">
        <v>0.85277777777777775</v>
      </c>
      <c r="J82" s="30">
        <f t="shared" si="3"/>
        <v>6.1111111111111116E-2</v>
      </c>
      <c r="K82" s="30" t="str">
        <f t="shared" si="2"/>
        <v>Passed</v>
      </c>
      <c r="L8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82" s="50"/>
    </row>
    <row r="83" spans="1:13">
      <c r="A83" s="15">
        <v>78</v>
      </c>
      <c r="B83" s="15" t="s">
        <v>57</v>
      </c>
      <c r="C83" s="33" t="s">
        <v>380</v>
      </c>
      <c r="D83" s="33" t="s">
        <v>452</v>
      </c>
      <c r="E83" s="33" t="s">
        <v>325</v>
      </c>
      <c r="F83" s="33" t="s">
        <v>31</v>
      </c>
      <c r="G83" s="33">
        <v>27000</v>
      </c>
      <c r="H83" s="64">
        <v>0.8041666666666667</v>
      </c>
      <c r="I83" s="64">
        <v>0.85833333333333339</v>
      </c>
      <c r="J83" s="30">
        <f t="shared" si="3"/>
        <v>5.4166666666666696E-2</v>
      </c>
      <c r="K83" s="30" t="str">
        <f t="shared" si="2"/>
        <v>No Remarks</v>
      </c>
      <c r="L8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83" s="50"/>
    </row>
    <row r="84" spans="1:13">
      <c r="A84" s="15">
        <v>79</v>
      </c>
      <c r="B84" s="15" t="s">
        <v>57</v>
      </c>
      <c r="C84" s="33" t="s">
        <v>167</v>
      </c>
      <c r="D84" s="33" t="s">
        <v>162</v>
      </c>
      <c r="E84" s="33" t="s">
        <v>163</v>
      </c>
      <c r="F84" s="33" t="s">
        <v>31</v>
      </c>
      <c r="G84" s="33">
        <v>18000</v>
      </c>
      <c r="H84" s="64">
        <v>0.82986111111111116</v>
      </c>
      <c r="I84" s="64">
        <v>0.86111111111111116</v>
      </c>
      <c r="J84" s="30">
        <f t="shared" si="3"/>
        <v>3.125E-2</v>
      </c>
      <c r="K84" s="30" t="str">
        <f t="shared" si="2"/>
        <v>No Remarks</v>
      </c>
      <c r="L8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84" s="50"/>
    </row>
    <row r="85" spans="1:13">
      <c r="A85" s="15">
        <v>80</v>
      </c>
      <c r="B85" s="15" t="s">
        <v>57</v>
      </c>
      <c r="C85" s="33" t="s">
        <v>522</v>
      </c>
      <c r="D85" s="33" t="s">
        <v>393</v>
      </c>
      <c r="E85" s="33" t="s">
        <v>137</v>
      </c>
      <c r="F85" s="33" t="s">
        <v>31</v>
      </c>
      <c r="G85" s="33">
        <v>54000</v>
      </c>
      <c r="H85" s="64">
        <v>0.80486111111111114</v>
      </c>
      <c r="I85" s="64">
        <v>0.85</v>
      </c>
      <c r="J85" s="30">
        <f t="shared" si="3"/>
        <v>4.513888888888884E-2</v>
      </c>
      <c r="K85" s="30" t="str">
        <f t="shared" si="2"/>
        <v>Passed</v>
      </c>
      <c r="L8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85" s="50"/>
    </row>
    <row r="86" spans="1:13">
      <c r="A86" s="15">
        <v>81</v>
      </c>
      <c r="B86" s="15" t="s">
        <v>57</v>
      </c>
      <c r="C86" s="33" t="s">
        <v>349</v>
      </c>
      <c r="D86" s="33" t="s">
        <v>470</v>
      </c>
      <c r="E86" s="33" t="s">
        <v>268</v>
      </c>
      <c r="F86" s="33" t="s">
        <v>31</v>
      </c>
      <c r="G86" s="33">
        <v>13500</v>
      </c>
      <c r="H86" s="64">
        <v>0.80555555555555547</v>
      </c>
      <c r="I86" s="64">
        <v>0.84722222222222221</v>
      </c>
      <c r="J86" s="30">
        <f t="shared" si="3"/>
        <v>4.1666666666666741E-2</v>
      </c>
      <c r="K86" s="30" t="str">
        <f t="shared" si="2"/>
        <v>No Remarks</v>
      </c>
      <c r="L8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86" s="50"/>
    </row>
    <row r="87" spans="1:13">
      <c r="A87" s="15">
        <v>82</v>
      </c>
      <c r="B87" s="15" t="s">
        <v>57</v>
      </c>
      <c r="C87" s="33" t="s">
        <v>345</v>
      </c>
      <c r="D87" s="33" t="s">
        <v>393</v>
      </c>
      <c r="E87" s="33" t="s">
        <v>423</v>
      </c>
      <c r="F87" s="33" t="s">
        <v>31</v>
      </c>
      <c r="G87" s="33">
        <v>13500</v>
      </c>
      <c r="H87" s="64">
        <v>0.7909722222222223</v>
      </c>
      <c r="I87" s="64">
        <v>0.84375</v>
      </c>
      <c r="J87" s="30">
        <f t="shared" si="3"/>
        <v>5.2777777777777701E-2</v>
      </c>
      <c r="K87" s="30" t="str">
        <f t="shared" si="2"/>
        <v>No Remarks</v>
      </c>
      <c r="L8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87" s="50"/>
    </row>
    <row r="88" spans="1:13" s="107" customFormat="1">
      <c r="A88" s="15">
        <v>83</v>
      </c>
      <c r="B88" s="15" t="s">
        <v>57</v>
      </c>
      <c r="C88" s="33" t="s">
        <v>257</v>
      </c>
      <c r="D88" s="33" t="s">
        <v>64</v>
      </c>
      <c r="E88" s="33" t="s">
        <v>484</v>
      </c>
      <c r="F88" s="33" t="s">
        <v>31</v>
      </c>
      <c r="G88" s="33">
        <v>18000</v>
      </c>
      <c r="H88" s="64">
        <v>0.79236111111111107</v>
      </c>
      <c r="I88" s="64">
        <v>0.83888888888888891</v>
      </c>
      <c r="J88" s="30">
        <f t="shared" si="3"/>
        <v>4.6527777777777835E-2</v>
      </c>
      <c r="K88" s="30" t="str">
        <f t="shared" si="2"/>
        <v>No Remarks</v>
      </c>
      <c r="L8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88" s="50"/>
    </row>
    <row r="89" spans="1:13">
      <c r="A89" s="15">
        <v>84</v>
      </c>
      <c r="B89" s="15" t="s">
        <v>57</v>
      </c>
      <c r="C89" s="33" t="s">
        <v>165</v>
      </c>
      <c r="D89" s="33" t="s">
        <v>64</v>
      </c>
      <c r="E89" s="33" t="s">
        <v>342</v>
      </c>
      <c r="F89" s="33" t="s">
        <v>31</v>
      </c>
      <c r="G89" s="33">
        <v>27000</v>
      </c>
      <c r="H89" s="64">
        <v>0.79027777777777775</v>
      </c>
      <c r="I89" s="64">
        <v>0.84027777777777779</v>
      </c>
      <c r="J89" s="30">
        <f t="shared" si="3"/>
        <v>5.0000000000000044E-2</v>
      </c>
      <c r="K89" s="30" t="str">
        <f t="shared" si="2"/>
        <v>No Remarks</v>
      </c>
      <c r="L8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89" s="50"/>
    </row>
    <row r="90" spans="1:13">
      <c r="A90" s="15">
        <v>85</v>
      </c>
      <c r="B90" s="15" t="s">
        <v>57</v>
      </c>
      <c r="C90" s="33" t="s">
        <v>450</v>
      </c>
      <c r="D90" s="33" t="s">
        <v>452</v>
      </c>
      <c r="E90" s="33" t="s">
        <v>208</v>
      </c>
      <c r="F90" s="33" t="s">
        <v>31</v>
      </c>
      <c r="G90" s="33">
        <v>54000</v>
      </c>
      <c r="H90" s="64">
        <v>0.77013888888888893</v>
      </c>
      <c r="I90" s="64">
        <v>0.83750000000000002</v>
      </c>
      <c r="J90" s="30">
        <f t="shared" si="3"/>
        <v>6.7361111111111094E-2</v>
      </c>
      <c r="K90" s="30" t="str">
        <f t="shared" si="2"/>
        <v>Passed</v>
      </c>
      <c r="L9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90" s="50"/>
    </row>
    <row r="91" spans="1:13" s="98" customFormat="1">
      <c r="A91" s="15">
        <v>86</v>
      </c>
      <c r="B91" s="15" t="s">
        <v>57</v>
      </c>
      <c r="C91" s="33" t="s">
        <v>505</v>
      </c>
      <c r="D91" s="33" t="s">
        <v>188</v>
      </c>
      <c r="E91" s="33" t="s">
        <v>189</v>
      </c>
      <c r="F91" s="33" t="s">
        <v>31</v>
      </c>
      <c r="G91" s="33">
        <v>54000</v>
      </c>
      <c r="H91" s="64">
        <v>0.75277777777777777</v>
      </c>
      <c r="I91" s="64">
        <v>0.82500000000000007</v>
      </c>
      <c r="J91" s="30">
        <f t="shared" si="3"/>
        <v>7.2222222222222299E-2</v>
      </c>
      <c r="K91" s="30" t="str">
        <f t="shared" si="2"/>
        <v>Passed</v>
      </c>
      <c r="L9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91" s="50"/>
    </row>
    <row r="92" spans="1:13">
      <c r="A92" s="15">
        <v>87</v>
      </c>
      <c r="B92" s="15" t="s">
        <v>57</v>
      </c>
      <c r="C92" s="33" t="s">
        <v>299</v>
      </c>
      <c r="D92" s="33" t="s">
        <v>452</v>
      </c>
      <c r="E92" s="33" t="s">
        <v>208</v>
      </c>
      <c r="F92" s="33" t="s">
        <v>31</v>
      </c>
      <c r="G92" s="33">
        <v>54000</v>
      </c>
      <c r="H92" s="64">
        <v>0.7729166666666667</v>
      </c>
      <c r="I92" s="64">
        <v>0.81597222222222221</v>
      </c>
      <c r="J92" s="30">
        <f t="shared" si="3"/>
        <v>4.3055555555555514E-2</v>
      </c>
      <c r="K92" s="30" t="str">
        <f t="shared" si="2"/>
        <v>Passed</v>
      </c>
      <c r="L9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92" s="50"/>
    </row>
    <row r="93" spans="1:13">
      <c r="A93" s="15">
        <v>88</v>
      </c>
      <c r="B93" s="15" t="s">
        <v>57</v>
      </c>
      <c r="C93" s="33" t="s">
        <v>200</v>
      </c>
      <c r="D93" s="33" t="s">
        <v>60</v>
      </c>
      <c r="E93" s="33" t="s">
        <v>73</v>
      </c>
      <c r="F93" s="33" t="s">
        <v>31</v>
      </c>
      <c r="G93" s="33">
        <v>13500</v>
      </c>
      <c r="H93" s="64">
        <v>0.77222222222222225</v>
      </c>
      <c r="I93" s="64">
        <v>0.8041666666666667</v>
      </c>
      <c r="J93" s="30">
        <f t="shared" si="3"/>
        <v>3.1944444444444442E-2</v>
      </c>
      <c r="K93" s="30" t="str">
        <f t="shared" si="2"/>
        <v>No Remarks</v>
      </c>
      <c r="L9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93" s="50"/>
    </row>
    <row r="94" spans="1:13">
      <c r="A94" s="15">
        <v>89</v>
      </c>
      <c r="B94" s="15" t="s">
        <v>57</v>
      </c>
      <c r="C94" s="33" t="s">
        <v>433</v>
      </c>
      <c r="D94" s="33" t="s">
        <v>396</v>
      </c>
      <c r="E94" s="33" t="s">
        <v>267</v>
      </c>
      <c r="F94" s="33" t="s">
        <v>31</v>
      </c>
      <c r="G94" s="33">
        <v>54000</v>
      </c>
      <c r="H94" s="64">
        <v>0.73333333333333339</v>
      </c>
      <c r="I94" s="64">
        <v>0.83680555555555547</v>
      </c>
      <c r="J94" s="30">
        <f t="shared" si="3"/>
        <v>0.10347222222222208</v>
      </c>
      <c r="K94" s="30" t="str">
        <f t="shared" si="2"/>
        <v>Failed</v>
      </c>
      <c r="L9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94" s="50" t="s">
        <v>354</v>
      </c>
    </row>
    <row r="95" spans="1:13">
      <c r="A95" s="15">
        <v>90</v>
      </c>
      <c r="B95" s="15" t="s">
        <v>57</v>
      </c>
      <c r="C95" s="33" t="s">
        <v>251</v>
      </c>
      <c r="D95" s="33" t="s">
        <v>452</v>
      </c>
      <c r="E95" s="33" t="s">
        <v>240</v>
      </c>
      <c r="F95" s="33" t="s">
        <v>31</v>
      </c>
      <c r="G95" s="33">
        <v>20000</v>
      </c>
      <c r="H95" s="64">
        <v>0.77083333333333337</v>
      </c>
      <c r="I95" s="64">
        <v>0.82986111111111116</v>
      </c>
      <c r="J95" s="30">
        <f t="shared" si="3"/>
        <v>5.902777777777779E-2</v>
      </c>
      <c r="K95" s="30" t="str">
        <f t="shared" si="2"/>
        <v>No Remarks</v>
      </c>
      <c r="L9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95" s="50"/>
    </row>
    <row r="96" spans="1:13">
      <c r="A96" s="15">
        <v>91</v>
      </c>
      <c r="B96" s="15" t="s">
        <v>57</v>
      </c>
      <c r="C96" s="33" t="s">
        <v>480</v>
      </c>
      <c r="D96" s="33" t="s">
        <v>396</v>
      </c>
      <c r="E96" s="33" t="s">
        <v>152</v>
      </c>
      <c r="F96" s="33" t="s">
        <v>31</v>
      </c>
      <c r="G96" s="33">
        <v>54000</v>
      </c>
      <c r="H96" s="64">
        <v>0.75277777777777777</v>
      </c>
      <c r="I96" s="64">
        <v>0.80763888888888891</v>
      </c>
      <c r="J96" s="30">
        <f t="shared" si="3"/>
        <v>5.4861111111111138E-2</v>
      </c>
      <c r="K96" s="30" t="str">
        <f t="shared" si="2"/>
        <v>Passed</v>
      </c>
      <c r="L9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96" s="50"/>
    </row>
    <row r="97" spans="1:21">
      <c r="A97" s="15">
        <v>92</v>
      </c>
      <c r="B97" s="15" t="s">
        <v>57</v>
      </c>
      <c r="C97" s="33" t="s">
        <v>483</v>
      </c>
      <c r="D97" s="33" t="s">
        <v>396</v>
      </c>
      <c r="E97" s="33" t="s">
        <v>152</v>
      </c>
      <c r="F97" s="33" t="s">
        <v>31</v>
      </c>
      <c r="G97" s="33">
        <v>40000</v>
      </c>
      <c r="H97" s="64">
        <v>0.73263888888888884</v>
      </c>
      <c r="I97" s="64">
        <v>0.81458333333333333</v>
      </c>
      <c r="J97" s="30">
        <f t="shared" si="3"/>
        <v>8.1944444444444486E-2</v>
      </c>
      <c r="K97" s="30" t="str">
        <f t="shared" si="2"/>
        <v>No Remarks</v>
      </c>
      <c r="L9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97" s="50"/>
      <c r="O97" s="108"/>
    </row>
    <row r="98" spans="1:21">
      <c r="A98" s="15">
        <v>93</v>
      </c>
      <c r="B98" s="15" t="s">
        <v>57</v>
      </c>
      <c r="C98" s="33" t="s">
        <v>469</v>
      </c>
      <c r="D98" s="33" t="s">
        <v>188</v>
      </c>
      <c r="E98" s="33" t="s">
        <v>189</v>
      </c>
      <c r="F98" s="33" t="s">
        <v>24</v>
      </c>
      <c r="G98" s="33">
        <v>27000</v>
      </c>
      <c r="H98" s="64">
        <v>0.76527777777777783</v>
      </c>
      <c r="I98" s="64">
        <v>0.8208333333333333</v>
      </c>
      <c r="J98" s="30">
        <f t="shared" si="3"/>
        <v>5.5555555555555469E-2</v>
      </c>
      <c r="K98" s="30" t="str">
        <f t="shared" si="2"/>
        <v>No Remarks</v>
      </c>
      <c r="L9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98" s="50"/>
      <c r="O98" s="109"/>
    </row>
    <row r="99" spans="1:21">
      <c r="A99" s="15">
        <v>94</v>
      </c>
      <c r="B99" s="15" t="s">
        <v>57</v>
      </c>
      <c r="C99" s="33" t="s">
        <v>128</v>
      </c>
      <c r="D99" s="33" t="s">
        <v>64</v>
      </c>
      <c r="E99" s="33" t="s">
        <v>152</v>
      </c>
      <c r="F99" s="33" t="s">
        <v>31</v>
      </c>
      <c r="G99" s="33">
        <v>54000</v>
      </c>
      <c r="H99" s="64">
        <v>0.7319444444444444</v>
      </c>
      <c r="I99" s="64">
        <v>0.80208333333333337</v>
      </c>
      <c r="J99" s="30">
        <f t="shared" si="3"/>
        <v>7.0138888888888973E-2</v>
      </c>
      <c r="K99" s="30" t="str">
        <f t="shared" si="2"/>
        <v>Passed</v>
      </c>
      <c r="L9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99" s="50"/>
      <c r="O99" s="108"/>
      <c r="P99" s="109"/>
      <c r="Q99" s="109"/>
      <c r="R99" s="109"/>
      <c r="S99" s="109"/>
      <c r="T99" s="109"/>
      <c r="U99" s="109"/>
    </row>
    <row r="100" spans="1:21">
      <c r="A100" s="15">
        <v>95</v>
      </c>
      <c r="B100" s="15" t="s">
        <v>57</v>
      </c>
      <c r="C100" s="33" t="s">
        <v>264</v>
      </c>
      <c r="D100" s="33" t="s">
        <v>396</v>
      </c>
      <c r="E100" s="33" t="s">
        <v>423</v>
      </c>
      <c r="F100" s="33" t="s">
        <v>31</v>
      </c>
      <c r="G100" s="33">
        <v>13500</v>
      </c>
      <c r="H100" s="64">
        <v>0.75347222222222221</v>
      </c>
      <c r="I100" s="64">
        <v>0.80069444444444438</v>
      </c>
      <c r="J100" s="30">
        <f t="shared" si="3"/>
        <v>4.7222222222222165E-2</v>
      </c>
      <c r="K100" s="30" t="str">
        <f t="shared" si="2"/>
        <v>No Remarks</v>
      </c>
      <c r="L10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00" s="50"/>
      <c r="O100" s="109"/>
      <c r="P100" s="109"/>
      <c r="Q100" s="109"/>
      <c r="R100" s="109"/>
      <c r="S100" s="109"/>
      <c r="T100" s="109"/>
      <c r="U100" s="109"/>
    </row>
    <row r="101" spans="1:21">
      <c r="A101" s="15">
        <v>96</v>
      </c>
      <c r="B101" s="15" t="s">
        <v>57</v>
      </c>
      <c r="C101" s="33" t="s">
        <v>493</v>
      </c>
      <c r="D101" s="33" t="s">
        <v>346</v>
      </c>
      <c r="E101" s="33" t="s">
        <v>71</v>
      </c>
      <c r="F101" s="33" t="s">
        <v>31</v>
      </c>
      <c r="G101" s="33">
        <v>13500</v>
      </c>
      <c r="H101" s="64">
        <v>0.73472222222222217</v>
      </c>
      <c r="I101" s="64">
        <v>0.80902777777777779</v>
      </c>
      <c r="J101" s="30">
        <f t="shared" si="3"/>
        <v>7.4305555555555625E-2</v>
      </c>
      <c r="K101" s="30" t="str">
        <f t="shared" si="2"/>
        <v>No Remarks</v>
      </c>
      <c r="L10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01" s="50"/>
    </row>
    <row r="102" spans="1:21">
      <c r="A102" s="15">
        <v>97</v>
      </c>
      <c r="B102" s="15" t="s">
        <v>57</v>
      </c>
      <c r="C102" s="33" t="s">
        <v>523</v>
      </c>
      <c r="D102" s="33" t="s">
        <v>396</v>
      </c>
      <c r="E102" s="33" t="s">
        <v>325</v>
      </c>
      <c r="F102" s="33" t="s">
        <v>31</v>
      </c>
      <c r="G102" s="33">
        <v>54000</v>
      </c>
      <c r="H102" s="64">
        <v>0.72222222222222221</v>
      </c>
      <c r="I102" s="64">
        <v>0.81111111111111101</v>
      </c>
      <c r="J102" s="30">
        <f t="shared" si="3"/>
        <v>8.8888888888888795E-2</v>
      </c>
      <c r="K102" s="30" t="str">
        <f t="shared" si="2"/>
        <v>Failed</v>
      </c>
      <c r="L10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02" s="50" t="s">
        <v>354</v>
      </c>
    </row>
    <row r="103" spans="1:21">
      <c r="A103" s="15">
        <v>98</v>
      </c>
      <c r="B103" s="15" t="s">
        <v>57</v>
      </c>
      <c r="C103" s="33" t="s">
        <v>501</v>
      </c>
      <c r="D103" s="33" t="s">
        <v>280</v>
      </c>
      <c r="E103" s="33" t="s">
        <v>423</v>
      </c>
      <c r="F103" s="33" t="s">
        <v>31</v>
      </c>
      <c r="G103" s="33">
        <v>13500</v>
      </c>
      <c r="H103" s="64">
        <v>0.73402777777777783</v>
      </c>
      <c r="I103" s="64">
        <v>0.79999999999999993</v>
      </c>
      <c r="J103" s="30">
        <f t="shared" si="3"/>
        <v>6.5972222222222099E-2</v>
      </c>
      <c r="K103" s="30" t="str">
        <f t="shared" si="2"/>
        <v>No Remarks</v>
      </c>
      <c r="L10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03" s="50"/>
    </row>
    <row r="104" spans="1:21">
      <c r="A104" s="15">
        <v>99</v>
      </c>
      <c r="B104" s="15" t="s">
        <v>57</v>
      </c>
      <c r="C104" s="33" t="s">
        <v>413</v>
      </c>
      <c r="D104" s="33" t="s">
        <v>120</v>
      </c>
      <c r="E104" s="33" t="s">
        <v>468</v>
      </c>
      <c r="F104" s="33" t="s">
        <v>24</v>
      </c>
      <c r="G104" s="33">
        <v>13500</v>
      </c>
      <c r="H104" s="64">
        <v>0.74236111111111114</v>
      </c>
      <c r="I104" s="64">
        <v>0.78749999999999998</v>
      </c>
      <c r="J104" s="30">
        <f t="shared" si="3"/>
        <v>4.513888888888884E-2</v>
      </c>
      <c r="K104" s="30" t="str">
        <f t="shared" si="2"/>
        <v>No Remarks</v>
      </c>
      <c r="L10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04" s="50"/>
    </row>
    <row r="105" spans="1:21">
      <c r="A105" s="15">
        <v>100</v>
      </c>
      <c r="B105" s="15" t="s">
        <v>57</v>
      </c>
      <c r="C105" s="33" t="s">
        <v>65</v>
      </c>
      <c r="D105" s="33" t="s">
        <v>393</v>
      </c>
      <c r="E105" s="33" t="s">
        <v>66</v>
      </c>
      <c r="F105" s="33" t="s">
        <v>24</v>
      </c>
      <c r="G105" s="33">
        <v>13500</v>
      </c>
      <c r="H105" s="64">
        <v>0.72777777777777775</v>
      </c>
      <c r="I105" s="64">
        <v>0.78194444444444444</v>
      </c>
      <c r="J105" s="30">
        <f t="shared" si="3"/>
        <v>5.4166666666666696E-2</v>
      </c>
      <c r="K105" s="30" t="str">
        <f t="shared" si="2"/>
        <v>No Remarks</v>
      </c>
      <c r="L105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05" s="50"/>
    </row>
    <row r="106" spans="1:21">
      <c r="A106" s="15">
        <v>101</v>
      </c>
      <c r="B106" s="15" t="s">
        <v>57</v>
      </c>
      <c r="C106" s="33" t="s">
        <v>190</v>
      </c>
      <c r="D106" s="33" t="s">
        <v>467</v>
      </c>
      <c r="E106" s="33" t="s">
        <v>177</v>
      </c>
      <c r="F106" s="33" t="s">
        <v>31</v>
      </c>
      <c r="G106" s="33">
        <v>18000</v>
      </c>
      <c r="H106" s="64">
        <v>0.72430555555555554</v>
      </c>
      <c r="I106" s="64">
        <v>0.78472222222222221</v>
      </c>
      <c r="J106" s="30">
        <f t="shared" si="3"/>
        <v>6.0416666666666674E-2</v>
      </c>
      <c r="K106" s="30" t="str">
        <f t="shared" si="2"/>
        <v>No Remarks</v>
      </c>
      <c r="L106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06" s="50"/>
    </row>
    <row r="107" spans="1:21">
      <c r="A107" s="15">
        <v>102</v>
      </c>
      <c r="B107" s="15" t="s">
        <v>57</v>
      </c>
      <c r="C107" s="33" t="s">
        <v>429</v>
      </c>
      <c r="D107" s="33" t="s">
        <v>64</v>
      </c>
      <c r="E107" s="33" t="s">
        <v>267</v>
      </c>
      <c r="F107" s="33" t="s">
        <v>31</v>
      </c>
      <c r="G107" s="33">
        <v>18000</v>
      </c>
      <c r="H107" s="64">
        <v>0.72152777777777777</v>
      </c>
      <c r="I107" s="64">
        <v>0.77638888888888891</v>
      </c>
      <c r="J107" s="30">
        <f t="shared" si="3"/>
        <v>5.4861111111111138E-2</v>
      </c>
      <c r="K107" s="30" t="str">
        <f t="shared" si="2"/>
        <v>No Remarks</v>
      </c>
      <c r="L107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07" s="50"/>
      <c r="O107" s="108" t="s">
        <v>326</v>
      </c>
    </row>
    <row r="108" spans="1:21">
      <c r="A108" s="15">
        <v>103</v>
      </c>
      <c r="B108" s="15" t="s">
        <v>57</v>
      </c>
      <c r="C108" s="33" t="s">
        <v>179</v>
      </c>
      <c r="D108" s="33" t="s">
        <v>120</v>
      </c>
      <c r="E108" s="33" t="s">
        <v>453</v>
      </c>
      <c r="F108" s="33" t="s">
        <v>24</v>
      </c>
      <c r="G108" s="33">
        <v>13500</v>
      </c>
      <c r="H108" s="64">
        <v>0.71319444444444446</v>
      </c>
      <c r="I108" s="64">
        <v>0.77986111111111101</v>
      </c>
      <c r="J108" s="30">
        <f t="shared" si="3"/>
        <v>6.6666666666666541E-2</v>
      </c>
      <c r="K108" s="30" t="str">
        <f t="shared" si="2"/>
        <v>No Remarks</v>
      </c>
      <c r="L108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08" s="50"/>
      <c r="O108" s="111"/>
      <c r="P108" s="109"/>
      <c r="Q108" s="109"/>
      <c r="R108" s="109"/>
      <c r="S108" s="109"/>
      <c r="T108" s="109"/>
    </row>
    <row r="109" spans="1:21">
      <c r="A109" s="15">
        <v>104</v>
      </c>
      <c r="B109" s="15" t="s">
        <v>57</v>
      </c>
      <c r="C109" s="33" t="s">
        <v>524</v>
      </c>
      <c r="D109" s="33" t="s">
        <v>64</v>
      </c>
      <c r="E109" s="33" t="s">
        <v>420</v>
      </c>
      <c r="F109" s="33" t="s">
        <v>31</v>
      </c>
      <c r="G109" s="33">
        <v>13500</v>
      </c>
      <c r="H109" s="64">
        <v>0.72083333333333333</v>
      </c>
      <c r="I109" s="64">
        <v>0.77569444444444446</v>
      </c>
      <c r="J109" s="30">
        <f t="shared" si="3"/>
        <v>5.4861111111111138E-2</v>
      </c>
      <c r="K109" s="30" t="str">
        <f t="shared" si="2"/>
        <v>No Remarks</v>
      </c>
      <c r="L109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09" s="50"/>
      <c r="O109" s="109"/>
    </row>
    <row r="110" spans="1:21">
      <c r="A110" s="15">
        <v>105</v>
      </c>
      <c r="B110" s="15" t="s">
        <v>57</v>
      </c>
      <c r="C110" s="33" t="s">
        <v>378</v>
      </c>
      <c r="D110" s="33" t="s">
        <v>393</v>
      </c>
      <c r="E110" s="33" t="s">
        <v>486</v>
      </c>
      <c r="F110" s="33" t="s">
        <v>24</v>
      </c>
      <c r="G110" s="33">
        <v>13500</v>
      </c>
      <c r="H110" s="64">
        <v>0.7270833333333333</v>
      </c>
      <c r="I110" s="64">
        <v>0.80555555555555547</v>
      </c>
      <c r="J110" s="30">
        <f t="shared" si="3"/>
        <v>7.8472222222222165E-2</v>
      </c>
      <c r="K110" s="30" t="str">
        <f t="shared" si="2"/>
        <v>No Remarks</v>
      </c>
      <c r="L110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10" s="50"/>
    </row>
    <row r="111" spans="1:21">
      <c r="A111" s="15">
        <v>106</v>
      </c>
      <c r="B111" s="15" t="s">
        <v>57</v>
      </c>
      <c r="C111" s="33" t="s">
        <v>213</v>
      </c>
      <c r="D111" s="33" t="s">
        <v>60</v>
      </c>
      <c r="E111" s="33" t="s">
        <v>73</v>
      </c>
      <c r="F111" s="33" t="s">
        <v>31</v>
      </c>
      <c r="G111" s="33">
        <v>27000</v>
      </c>
      <c r="H111" s="64">
        <v>0.7055555555555556</v>
      </c>
      <c r="I111" s="64">
        <v>0.76180555555555562</v>
      </c>
      <c r="J111" s="30">
        <f t="shared" si="3"/>
        <v>5.6250000000000022E-2</v>
      </c>
      <c r="K111" s="30" t="str">
        <f t="shared" si="2"/>
        <v>No Remarks</v>
      </c>
      <c r="L111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11" s="50"/>
    </row>
    <row r="112" spans="1:21">
      <c r="A112" s="15">
        <v>107</v>
      </c>
      <c r="B112" s="15" t="s">
        <v>57</v>
      </c>
      <c r="C112" s="33" t="s">
        <v>392</v>
      </c>
      <c r="D112" s="33" t="s">
        <v>120</v>
      </c>
      <c r="E112" s="33" t="s">
        <v>66</v>
      </c>
      <c r="F112" s="33" t="s">
        <v>24</v>
      </c>
      <c r="G112" s="33">
        <v>13500</v>
      </c>
      <c r="H112" s="64">
        <v>0.72499999999999998</v>
      </c>
      <c r="I112" s="64">
        <v>0.78611111111111109</v>
      </c>
      <c r="J112" s="30">
        <f t="shared" si="3"/>
        <v>6.1111111111111116E-2</v>
      </c>
      <c r="K112" s="30" t="str">
        <f t="shared" si="2"/>
        <v>No Remarks</v>
      </c>
      <c r="L112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12" s="50"/>
    </row>
    <row r="113" spans="1:13">
      <c r="A113" s="15">
        <v>108</v>
      </c>
      <c r="B113" s="15" t="s">
        <v>57</v>
      </c>
      <c r="C113" s="33" t="s">
        <v>438</v>
      </c>
      <c r="D113" s="33" t="s">
        <v>452</v>
      </c>
      <c r="E113" s="33" t="s">
        <v>423</v>
      </c>
      <c r="F113" s="33" t="s">
        <v>24</v>
      </c>
      <c r="G113" s="33">
        <v>27000</v>
      </c>
      <c r="H113" s="64">
        <v>0.71527777777777779</v>
      </c>
      <c r="I113" s="64">
        <v>0.77430555555555547</v>
      </c>
      <c r="J113" s="30">
        <f t="shared" si="3"/>
        <v>5.9027777777777679E-2</v>
      </c>
      <c r="K113" s="30" t="str">
        <f t="shared" si="2"/>
        <v>No Remarks</v>
      </c>
      <c r="L113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13" s="50"/>
    </row>
    <row r="114" spans="1:13">
      <c r="A114" s="15">
        <v>109</v>
      </c>
      <c r="B114" s="15" t="s">
        <v>57</v>
      </c>
      <c r="C114" s="33" t="s">
        <v>67</v>
      </c>
      <c r="D114" s="33" t="s">
        <v>61</v>
      </c>
      <c r="E114" s="33" t="s">
        <v>390</v>
      </c>
      <c r="F114" s="33" t="s">
        <v>31</v>
      </c>
      <c r="G114" s="33">
        <v>54000</v>
      </c>
      <c r="H114" s="64">
        <v>0.67847222222222225</v>
      </c>
      <c r="I114" s="64">
        <v>0.78125</v>
      </c>
      <c r="J114" s="30">
        <f t="shared" si="3"/>
        <v>0.10277777777777775</v>
      </c>
      <c r="K114" s="30" t="str">
        <f t="shared" si="2"/>
        <v>Failed</v>
      </c>
      <c r="L114" s="30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14" s="50" t="s">
        <v>354</v>
      </c>
    </row>
    <row r="115" spans="1:13">
      <c r="A115" s="15">
        <v>110</v>
      </c>
      <c r="B115" s="15" t="s">
        <v>57</v>
      </c>
      <c r="C115" s="33" t="s">
        <v>136</v>
      </c>
      <c r="D115" s="33" t="s">
        <v>393</v>
      </c>
      <c r="E115" s="33" t="s">
        <v>59</v>
      </c>
      <c r="F115" s="33" t="s">
        <v>24</v>
      </c>
      <c r="G115" s="33">
        <v>13500</v>
      </c>
      <c r="H115" s="112">
        <v>0.71736111111111101</v>
      </c>
      <c r="I115" s="112">
        <v>0.77777777777777779</v>
      </c>
      <c r="J115" s="30">
        <f t="shared" si="3"/>
        <v>6.0416666666666785E-2</v>
      </c>
      <c r="K115" s="113" t="str">
        <f t="shared" si="2"/>
        <v>No Remarks</v>
      </c>
      <c r="L11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15" s="50"/>
    </row>
    <row r="116" spans="1:13">
      <c r="A116" s="15">
        <v>111</v>
      </c>
      <c r="B116" s="15" t="s">
        <v>57</v>
      </c>
      <c r="C116" s="33" t="s">
        <v>525</v>
      </c>
      <c r="D116" s="33" t="s">
        <v>266</v>
      </c>
      <c r="E116" s="33" t="s">
        <v>526</v>
      </c>
      <c r="F116" s="33" t="s">
        <v>31</v>
      </c>
      <c r="G116" s="33">
        <v>54000</v>
      </c>
      <c r="H116" s="112">
        <v>0.69791666666666663</v>
      </c>
      <c r="I116" s="112">
        <v>0.76736111111111116</v>
      </c>
      <c r="J116" s="30">
        <f t="shared" si="3"/>
        <v>6.9444444444444531E-2</v>
      </c>
      <c r="K116" s="113" t="str">
        <f t="shared" si="2"/>
        <v>Passed</v>
      </c>
      <c r="L11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16" s="50"/>
    </row>
    <row r="117" spans="1:13">
      <c r="A117" s="15">
        <v>112</v>
      </c>
      <c r="B117" s="15" t="s">
        <v>57</v>
      </c>
      <c r="C117" s="33" t="s">
        <v>437</v>
      </c>
      <c r="D117" s="33" t="s">
        <v>346</v>
      </c>
      <c r="E117" s="33" t="s">
        <v>431</v>
      </c>
      <c r="F117" s="33" t="s">
        <v>24</v>
      </c>
      <c r="G117" s="33">
        <v>54000</v>
      </c>
      <c r="H117" s="112">
        <v>0.70277777777777783</v>
      </c>
      <c r="I117" s="112">
        <v>0.7909722222222223</v>
      </c>
      <c r="J117" s="30">
        <f t="shared" si="3"/>
        <v>8.8194444444444464E-2</v>
      </c>
      <c r="K117" s="113" t="str">
        <f t="shared" si="2"/>
        <v>Failed</v>
      </c>
      <c r="L11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17" s="50" t="s">
        <v>353</v>
      </c>
    </row>
    <row r="118" spans="1:13">
      <c r="A118" s="15">
        <v>113</v>
      </c>
      <c r="B118" s="15" t="s">
        <v>57</v>
      </c>
      <c r="C118" s="33" t="s">
        <v>337</v>
      </c>
      <c r="D118" s="33" t="s">
        <v>64</v>
      </c>
      <c r="E118" s="33" t="s">
        <v>342</v>
      </c>
      <c r="F118" s="33" t="s">
        <v>31</v>
      </c>
      <c r="G118" s="33">
        <v>27000</v>
      </c>
      <c r="H118" s="112">
        <v>0.70416666666666661</v>
      </c>
      <c r="I118" s="112">
        <v>0.76111111111111107</v>
      </c>
      <c r="J118" s="30">
        <f t="shared" si="3"/>
        <v>5.6944444444444464E-2</v>
      </c>
      <c r="K118" s="113" t="str">
        <f t="shared" si="2"/>
        <v>No Remarks</v>
      </c>
      <c r="L11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18" s="50"/>
    </row>
    <row r="119" spans="1:13">
      <c r="A119" s="15">
        <v>114</v>
      </c>
      <c r="B119" s="15" t="s">
        <v>57</v>
      </c>
      <c r="C119" s="33" t="s">
        <v>527</v>
      </c>
      <c r="D119" s="33" t="s">
        <v>396</v>
      </c>
      <c r="E119" s="33" t="s">
        <v>431</v>
      </c>
      <c r="F119" s="33" t="s">
        <v>24</v>
      </c>
      <c r="G119" s="33">
        <v>54000</v>
      </c>
      <c r="H119" s="112">
        <v>0.69166666666666676</v>
      </c>
      <c r="I119" s="112">
        <v>0.79722222222222217</v>
      </c>
      <c r="J119" s="30">
        <f t="shared" si="3"/>
        <v>0.1055555555555554</v>
      </c>
      <c r="K119" s="113" t="str">
        <f t="shared" si="2"/>
        <v>Failed</v>
      </c>
      <c r="L11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119" s="50" t="s">
        <v>353</v>
      </c>
    </row>
    <row r="120" spans="1:13">
      <c r="A120" s="15">
        <v>115</v>
      </c>
      <c r="B120" s="15" t="s">
        <v>57</v>
      </c>
      <c r="C120" s="33" t="s">
        <v>402</v>
      </c>
      <c r="D120" s="33" t="s">
        <v>396</v>
      </c>
      <c r="E120" s="33" t="s">
        <v>342</v>
      </c>
      <c r="F120" s="33" t="s">
        <v>31</v>
      </c>
      <c r="G120" s="33">
        <v>27000</v>
      </c>
      <c r="H120" s="112">
        <v>0.69861111111111107</v>
      </c>
      <c r="I120" s="112">
        <v>0.76111111111111107</v>
      </c>
      <c r="J120" s="30">
        <f t="shared" si="3"/>
        <v>6.25E-2</v>
      </c>
      <c r="K120" s="113" t="str">
        <f t="shared" si="2"/>
        <v>No Remarks</v>
      </c>
      <c r="L12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20" s="50"/>
    </row>
    <row r="121" spans="1:13">
      <c r="A121" s="15">
        <v>116</v>
      </c>
      <c r="B121" s="15" t="s">
        <v>57</v>
      </c>
      <c r="C121" s="33" t="s">
        <v>455</v>
      </c>
      <c r="D121" s="33" t="s">
        <v>346</v>
      </c>
      <c r="E121" s="33" t="s">
        <v>431</v>
      </c>
      <c r="F121" s="33" t="s">
        <v>24</v>
      </c>
      <c r="G121" s="33">
        <v>54000</v>
      </c>
      <c r="H121" s="112">
        <v>0.68819444444444444</v>
      </c>
      <c r="I121" s="112">
        <v>0.78888888888888886</v>
      </c>
      <c r="J121" s="30">
        <f t="shared" si="3"/>
        <v>0.10069444444444442</v>
      </c>
      <c r="K121" s="113" t="str">
        <f t="shared" si="2"/>
        <v>Failed</v>
      </c>
      <c r="L12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21" s="50" t="s">
        <v>353</v>
      </c>
    </row>
    <row r="122" spans="1:13">
      <c r="A122" s="15">
        <v>117</v>
      </c>
      <c r="B122" s="15" t="s">
        <v>57</v>
      </c>
      <c r="C122" s="33" t="s">
        <v>235</v>
      </c>
      <c r="D122" s="33" t="s">
        <v>396</v>
      </c>
      <c r="E122" s="33" t="s">
        <v>209</v>
      </c>
      <c r="F122" s="33" t="s">
        <v>31</v>
      </c>
      <c r="G122" s="33">
        <v>13500</v>
      </c>
      <c r="H122" s="112">
        <v>0.70486111111111116</v>
      </c>
      <c r="I122" s="112">
        <v>0.76458333333333339</v>
      </c>
      <c r="J122" s="30">
        <f t="shared" si="3"/>
        <v>5.9722222222222232E-2</v>
      </c>
      <c r="K122" s="113" t="str">
        <f t="shared" si="2"/>
        <v>No Remarks</v>
      </c>
      <c r="L12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22" s="50"/>
    </row>
    <row r="123" spans="1:13">
      <c r="A123" s="15">
        <v>118</v>
      </c>
      <c r="B123" s="15" t="s">
        <v>57</v>
      </c>
      <c r="C123" s="33" t="s">
        <v>432</v>
      </c>
      <c r="D123" s="33" t="s">
        <v>346</v>
      </c>
      <c r="E123" s="33" t="s">
        <v>431</v>
      </c>
      <c r="F123" s="33" t="s">
        <v>24</v>
      </c>
      <c r="G123" s="33">
        <v>54000</v>
      </c>
      <c r="H123" s="112">
        <v>0.68958333333333333</v>
      </c>
      <c r="I123" s="112">
        <v>0.79375000000000007</v>
      </c>
      <c r="J123" s="30">
        <f t="shared" si="3"/>
        <v>0.10416666666666674</v>
      </c>
      <c r="K123" s="113" t="str">
        <f t="shared" si="2"/>
        <v>Failed</v>
      </c>
      <c r="L12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123" s="50" t="s">
        <v>353</v>
      </c>
    </row>
    <row r="124" spans="1:13">
      <c r="A124" s="15">
        <v>119</v>
      </c>
      <c r="B124" s="15" t="s">
        <v>57</v>
      </c>
      <c r="C124" s="33" t="s">
        <v>410</v>
      </c>
      <c r="D124" s="33" t="s">
        <v>396</v>
      </c>
      <c r="E124" s="33" t="s">
        <v>342</v>
      </c>
      <c r="F124" s="33" t="s">
        <v>31</v>
      </c>
      <c r="G124" s="33">
        <v>27000</v>
      </c>
      <c r="H124" s="112">
        <v>0.69097222222222221</v>
      </c>
      <c r="I124" s="112">
        <v>0.76041666666666663</v>
      </c>
      <c r="J124" s="30">
        <f t="shared" si="3"/>
        <v>6.944444444444442E-2</v>
      </c>
      <c r="K124" s="113" t="str">
        <f t="shared" si="2"/>
        <v>No Remarks</v>
      </c>
      <c r="L12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24" s="50"/>
    </row>
    <row r="125" spans="1:13">
      <c r="A125" s="15">
        <v>120</v>
      </c>
      <c r="B125" s="15" t="s">
        <v>57</v>
      </c>
      <c r="C125" s="33" t="s">
        <v>193</v>
      </c>
      <c r="D125" s="33" t="s">
        <v>188</v>
      </c>
      <c r="E125" s="33" t="s">
        <v>189</v>
      </c>
      <c r="F125" s="33" t="s">
        <v>24</v>
      </c>
      <c r="G125" s="33">
        <v>45000</v>
      </c>
      <c r="H125" s="112">
        <v>0.68125000000000002</v>
      </c>
      <c r="I125" s="112">
        <v>0.77638888888888891</v>
      </c>
      <c r="J125" s="30">
        <f t="shared" si="3"/>
        <v>9.5138888888888884E-2</v>
      </c>
      <c r="K125" s="113" t="str">
        <f t="shared" si="2"/>
        <v>Failed</v>
      </c>
      <c r="L12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25" s="50" t="s">
        <v>353</v>
      </c>
    </row>
    <row r="126" spans="1:13">
      <c r="A126" s="15">
        <v>121</v>
      </c>
      <c r="B126" s="15" t="s">
        <v>57</v>
      </c>
      <c r="C126" s="33" t="s">
        <v>434</v>
      </c>
      <c r="D126" s="33" t="s">
        <v>396</v>
      </c>
      <c r="E126" s="33" t="s">
        <v>342</v>
      </c>
      <c r="F126" s="33" t="s">
        <v>31</v>
      </c>
      <c r="G126" s="33">
        <v>27000</v>
      </c>
      <c r="H126" s="112">
        <v>0.6777777777777777</v>
      </c>
      <c r="I126" s="112">
        <v>0.73263888888888884</v>
      </c>
      <c r="J126" s="30">
        <f t="shared" si="3"/>
        <v>5.4861111111111138E-2</v>
      </c>
      <c r="K126" s="113" t="str">
        <f t="shared" si="2"/>
        <v>No Remarks</v>
      </c>
      <c r="L12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26" s="114"/>
    </row>
    <row r="127" spans="1:13">
      <c r="A127" s="15">
        <v>122</v>
      </c>
      <c r="B127" s="15" t="s">
        <v>57</v>
      </c>
      <c r="C127" s="33" t="s">
        <v>269</v>
      </c>
      <c r="D127" s="33" t="s">
        <v>396</v>
      </c>
      <c r="E127" s="33" t="s">
        <v>423</v>
      </c>
      <c r="F127" s="33" t="s">
        <v>31</v>
      </c>
      <c r="G127" s="33">
        <v>13500</v>
      </c>
      <c r="H127" s="112">
        <v>0.69027777777777777</v>
      </c>
      <c r="I127" s="112">
        <v>0.72916666666666663</v>
      </c>
      <c r="J127" s="30">
        <f t="shared" si="3"/>
        <v>3.8888888888888862E-2</v>
      </c>
      <c r="K127" s="113" t="str">
        <f t="shared" si="2"/>
        <v>No Remarks</v>
      </c>
      <c r="L12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127" s="114"/>
    </row>
    <row r="128" spans="1:13">
      <c r="A128" s="15">
        <v>123</v>
      </c>
      <c r="B128" s="15" t="s">
        <v>57</v>
      </c>
      <c r="C128" s="33" t="s">
        <v>528</v>
      </c>
      <c r="D128" s="33" t="s">
        <v>60</v>
      </c>
      <c r="E128" s="33" t="s">
        <v>73</v>
      </c>
      <c r="F128" s="33" t="s">
        <v>31</v>
      </c>
      <c r="G128" s="33">
        <v>30000</v>
      </c>
      <c r="H128" s="112">
        <v>0.66736111111111107</v>
      </c>
      <c r="I128" s="112">
        <v>0.72569444444444453</v>
      </c>
      <c r="J128" s="30">
        <f t="shared" si="3"/>
        <v>5.8333333333333459E-2</v>
      </c>
      <c r="K128" s="113" t="str">
        <f t="shared" si="2"/>
        <v>No Remarks</v>
      </c>
      <c r="L12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28" s="50"/>
    </row>
    <row r="129" spans="1:13">
      <c r="A129" s="15">
        <v>124</v>
      </c>
      <c r="B129" s="15" t="s">
        <v>57</v>
      </c>
      <c r="C129" s="33" t="s">
        <v>403</v>
      </c>
      <c r="D129" s="33" t="s">
        <v>396</v>
      </c>
      <c r="E129" s="33" t="s">
        <v>342</v>
      </c>
      <c r="F129" s="33" t="s">
        <v>31</v>
      </c>
      <c r="G129" s="33">
        <v>13500</v>
      </c>
      <c r="H129" s="112">
        <v>0.67708333333333337</v>
      </c>
      <c r="I129" s="112">
        <v>0.71875</v>
      </c>
      <c r="J129" s="30">
        <f t="shared" si="3"/>
        <v>4.166666666666663E-2</v>
      </c>
      <c r="K129" s="113" t="str">
        <f t="shared" si="2"/>
        <v>No Remarks</v>
      </c>
      <c r="L12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129" s="114"/>
    </row>
    <row r="130" spans="1:13">
      <c r="A130" s="15">
        <v>125</v>
      </c>
      <c r="B130" s="15" t="s">
        <v>57</v>
      </c>
      <c r="C130" s="33" t="s">
        <v>296</v>
      </c>
      <c r="D130" s="33" t="s">
        <v>396</v>
      </c>
      <c r="E130" s="33" t="s">
        <v>342</v>
      </c>
      <c r="F130" s="33" t="s">
        <v>31</v>
      </c>
      <c r="G130" s="33">
        <v>45000</v>
      </c>
      <c r="H130" s="112">
        <v>0.6430555555555556</v>
      </c>
      <c r="I130" s="112">
        <v>0.72152777777777777</v>
      </c>
      <c r="J130" s="30">
        <f t="shared" si="3"/>
        <v>7.8472222222222165E-2</v>
      </c>
      <c r="K130" s="113" t="str">
        <f t="shared" si="2"/>
        <v>Failed</v>
      </c>
      <c r="L13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30" s="50" t="s">
        <v>354</v>
      </c>
    </row>
    <row r="131" spans="1:13">
      <c r="A131" s="15">
        <v>126</v>
      </c>
      <c r="B131" s="15" t="s">
        <v>57</v>
      </c>
      <c r="C131" s="33" t="s">
        <v>252</v>
      </c>
      <c r="D131" s="33" t="s">
        <v>396</v>
      </c>
      <c r="E131" s="33" t="s">
        <v>78</v>
      </c>
      <c r="F131" s="33" t="s">
        <v>31</v>
      </c>
      <c r="G131" s="33">
        <v>13500</v>
      </c>
      <c r="H131" s="112">
        <v>0.66805555555555562</v>
      </c>
      <c r="I131" s="112">
        <v>0.72083333333333333</v>
      </c>
      <c r="J131" s="30">
        <f t="shared" si="3"/>
        <v>5.2777777777777701E-2</v>
      </c>
      <c r="K131" s="113" t="str">
        <f t="shared" si="2"/>
        <v>No Remarks</v>
      </c>
      <c r="L13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31" s="50"/>
    </row>
    <row r="132" spans="1:13">
      <c r="A132" s="15">
        <v>127</v>
      </c>
      <c r="B132" s="15" t="s">
        <v>57</v>
      </c>
      <c r="C132" s="33" t="s">
        <v>465</v>
      </c>
      <c r="D132" s="33" t="s">
        <v>188</v>
      </c>
      <c r="E132" s="33" t="s">
        <v>189</v>
      </c>
      <c r="F132" s="33" t="s">
        <v>24</v>
      </c>
      <c r="G132" s="33">
        <v>54000</v>
      </c>
      <c r="H132" s="112">
        <v>0.64583333333333337</v>
      </c>
      <c r="I132" s="112">
        <v>0.72013888888888899</v>
      </c>
      <c r="J132" s="30">
        <f t="shared" si="3"/>
        <v>7.4305555555555625E-2</v>
      </c>
      <c r="K132" s="113" t="str">
        <f t="shared" si="2"/>
        <v>Failed</v>
      </c>
      <c r="L13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32" s="50" t="s">
        <v>353</v>
      </c>
    </row>
    <row r="133" spans="1:13">
      <c r="A133" s="15">
        <v>128</v>
      </c>
      <c r="B133" s="15" t="s">
        <v>57</v>
      </c>
      <c r="C133" s="33" t="s">
        <v>324</v>
      </c>
      <c r="D133" s="33" t="s">
        <v>60</v>
      </c>
      <c r="E133" s="33" t="s">
        <v>73</v>
      </c>
      <c r="F133" s="33" t="s">
        <v>31</v>
      </c>
      <c r="G133" s="33">
        <v>45000</v>
      </c>
      <c r="H133" s="112">
        <v>0.6118055555555556</v>
      </c>
      <c r="I133" s="112">
        <v>0.70000000000000007</v>
      </c>
      <c r="J133" s="30">
        <f t="shared" si="3"/>
        <v>8.8194444444444464E-2</v>
      </c>
      <c r="K133" s="113" t="str">
        <f t="shared" si="2"/>
        <v>Failed</v>
      </c>
      <c r="L13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33" s="50" t="s">
        <v>354</v>
      </c>
    </row>
    <row r="134" spans="1:13">
      <c r="A134" s="15">
        <v>129</v>
      </c>
      <c r="B134" s="15" t="s">
        <v>57</v>
      </c>
      <c r="C134" s="33" t="s">
        <v>255</v>
      </c>
      <c r="D134" s="33" t="s">
        <v>393</v>
      </c>
      <c r="E134" s="33" t="s">
        <v>416</v>
      </c>
      <c r="F134" s="33" t="s">
        <v>31</v>
      </c>
      <c r="G134" s="33">
        <v>13500</v>
      </c>
      <c r="H134" s="112">
        <v>0.66111111111111109</v>
      </c>
      <c r="I134" s="112">
        <v>0.71944444444444444</v>
      </c>
      <c r="J134" s="30">
        <f t="shared" si="3"/>
        <v>5.8333333333333348E-2</v>
      </c>
      <c r="K134" s="113" t="str">
        <f t="shared" ref="K134:K190" si="4">IF(G134&lt;$H$3,"No Remarks",IF(AND(G134&gt;=$H$3,J134&lt;=$D$3),"Passed","Failed"))</f>
        <v>No Remarks</v>
      </c>
      <c r="L13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34" s="114"/>
    </row>
    <row r="135" spans="1:13">
      <c r="A135" s="15">
        <v>130</v>
      </c>
      <c r="B135" s="15" t="s">
        <v>57</v>
      </c>
      <c r="C135" s="33" t="s">
        <v>68</v>
      </c>
      <c r="D135" s="33" t="s">
        <v>393</v>
      </c>
      <c r="E135" s="33" t="s">
        <v>457</v>
      </c>
      <c r="F135" s="33" t="s">
        <v>24</v>
      </c>
      <c r="G135" s="33">
        <v>54000</v>
      </c>
      <c r="H135" s="112">
        <v>0.64444444444444449</v>
      </c>
      <c r="I135" s="112">
        <v>0.72222222222222221</v>
      </c>
      <c r="J135" s="30">
        <f t="shared" si="3"/>
        <v>7.7777777777777724E-2</v>
      </c>
      <c r="K135" s="113" t="str">
        <f t="shared" si="4"/>
        <v>Failed</v>
      </c>
      <c r="L13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35" s="50" t="s">
        <v>353</v>
      </c>
    </row>
    <row r="136" spans="1:13">
      <c r="A136" s="15">
        <v>131</v>
      </c>
      <c r="B136" s="15" t="s">
        <v>57</v>
      </c>
      <c r="C136" s="33" t="s">
        <v>334</v>
      </c>
      <c r="D136" s="33" t="s">
        <v>470</v>
      </c>
      <c r="E136" s="33" t="s">
        <v>454</v>
      </c>
      <c r="F136" s="33" t="s">
        <v>31</v>
      </c>
      <c r="G136" s="33">
        <v>13500</v>
      </c>
      <c r="H136" s="112">
        <v>0.66319444444444442</v>
      </c>
      <c r="I136" s="112">
        <v>0.71805555555555556</v>
      </c>
      <c r="J136" s="30">
        <f t="shared" ref="J136:J190" si="5">I136-H136</f>
        <v>5.4861111111111138E-2</v>
      </c>
      <c r="K136" s="113" t="str">
        <f t="shared" si="4"/>
        <v>No Remarks</v>
      </c>
      <c r="L13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36" s="114"/>
    </row>
    <row r="137" spans="1:13">
      <c r="A137" s="15">
        <v>132</v>
      </c>
      <c r="B137" s="15" t="s">
        <v>57</v>
      </c>
      <c r="C137" s="33" t="s">
        <v>77</v>
      </c>
      <c r="D137" s="33" t="s">
        <v>396</v>
      </c>
      <c r="E137" s="33" t="s">
        <v>78</v>
      </c>
      <c r="F137" s="33" t="s">
        <v>31</v>
      </c>
      <c r="G137" s="33">
        <v>13500</v>
      </c>
      <c r="H137" s="112">
        <v>0.65763888888888888</v>
      </c>
      <c r="I137" s="112">
        <v>0.71597222222222223</v>
      </c>
      <c r="J137" s="30">
        <f t="shared" si="5"/>
        <v>5.8333333333333348E-2</v>
      </c>
      <c r="K137" s="113" t="str">
        <f t="shared" si="4"/>
        <v>No Remarks</v>
      </c>
      <c r="L13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37" s="50"/>
    </row>
    <row r="138" spans="1:13">
      <c r="A138" s="15">
        <v>133</v>
      </c>
      <c r="B138" s="15" t="s">
        <v>57</v>
      </c>
      <c r="C138" s="33" t="s">
        <v>281</v>
      </c>
      <c r="D138" s="33" t="s">
        <v>452</v>
      </c>
      <c r="E138" s="33" t="s">
        <v>79</v>
      </c>
      <c r="F138" s="33" t="s">
        <v>24</v>
      </c>
      <c r="G138" s="33">
        <v>27000</v>
      </c>
      <c r="H138" s="112">
        <v>0.62222222222222223</v>
      </c>
      <c r="I138" s="112">
        <v>0.71666666666666667</v>
      </c>
      <c r="J138" s="30">
        <f t="shared" si="5"/>
        <v>9.4444444444444442E-2</v>
      </c>
      <c r="K138" s="113" t="str">
        <f t="shared" si="4"/>
        <v>No Remarks</v>
      </c>
      <c r="L13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38" s="50"/>
    </row>
    <row r="139" spans="1:13">
      <c r="A139" s="15">
        <v>134</v>
      </c>
      <c r="B139" s="15" t="s">
        <v>57</v>
      </c>
      <c r="C139" s="33" t="s">
        <v>439</v>
      </c>
      <c r="D139" s="33" t="s">
        <v>60</v>
      </c>
      <c r="E139" s="33" t="s">
        <v>73</v>
      </c>
      <c r="F139" s="33" t="s">
        <v>31</v>
      </c>
      <c r="G139" s="33">
        <v>31500</v>
      </c>
      <c r="H139" s="112">
        <v>0.63124999999999998</v>
      </c>
      <c r="I139" s="112">
        <v>0.6972222222222223</v>
      </c>
      <c r="J139" s="30">
        <f t="shared" si="5"/>
        <v>6.5972222222222321E-2</v>
      </c>
      <c r="K139" s="113" t="str">
        <f t="shared" si="4"/>
        <v>No Remarks</v>
      </c>
      <c r="L13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39" s="50"/>
    </row>
    <row r="140" spans="1:13">
      <c r="A140" s="15">
        <v>135</v>
      </c>
      <c r="B140" s="15" t="s">
        <v>57</v>
      </c>
      <c r="C140" s="33" t="s">
        <v>333</v>
      </c>
      <c r="D140" s="33" t="s">
        <v>346</v>
      </c>
      <c r="E140" s="33" t="s">
        <v>431</v>
      </c>
      <c r="F140" s="33" t="s">
        <v>24</v>
      </c>
      <c r="G140" s="33">
        <v>54000</v>
      </c>
      <c r="H140" s="112">
        <v>0.62361111111111112</v>
      </c>
      <c r="I140" s="112">
        <v>0.78333333333333333</v>
      </c>
      <c r="J140" s="30">
        <f t="shared" si="5"/>
        <v>0.15972222222222221</v>
      </c>
      <c r="K140" s="113" t="str">
        <f t="shared" si="4"/>
        <v>Failed</v>
      </c>
      <c r="L14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x10</v>
      </c>
      <c r="M140" s="50" t="s">
        <v>353</v>
      </c>
    </row>
    <row r="141" spans="1:13">
      <c r="A141" s="15">
        <v>136</v>
      </c>
      <c r="B141" s="15" t="s">
        <v>57</v>
      </c>
      <c r="C141" s="33" t="s">
        <v>291</v>
      </c>
      <c r="D141" s="33" t="s">
        <v>470</v>
      </c>
      <c r="E141" s="33" t="s">
        <v>79</v>
      </c>
      <c r="F141" s="33" t="s">
        <v>31</v>
      </c>
      <c r="G141" s="33">
        <v>13500</v>
      </c>
      <c r="H141" s="112">
        <v>0.64374999999999993</v>
      </c>
      <c r="I141" s="112">
        <v>0.70763888888888893</v>
      </c>
      <c r="J141" s="30">
        <f t="shared" si="5"/>
        <v>6.3888888888888995E-2</v>
      </c>
      <c r="K141" s="113" t="str">
        <f t="shared" si="4"/>
        <v>No Remarks</v>
      </c>
      <c r="L14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41" s="114"/>
    </row>
    <row r="142" spans="1:13">
      <c r="A142" s="15">
        <v>137</v>
      </c>
      <c r="B142" s="15" t="s">
        <v>57</v>
      </c>
      <c r="C142" s="33" t="s">
        <v>456</v>
      </c>
      <c r="D142" s="33" t="s">
        <v>346</v>
      </c>
      <c r="E142" s="33" t="s">
        <v>409</v>
      </c>
      <c r="F142" s="33" t="s">
        <v>24</v>
      </c>
      <c r="G142" s="33">
        <v>54000</v>
      </c>
      <c r="H142" s="112">
        <v>0.61111111111111105</v>
      </c>
      <c r="I142" s="112">
        <v>0.70486111111111116</v>
      </c>
      <c r="J142" s="30">
        <f t="shared" si="5"/>
        <v>9.3750000000000111E-2</v>
      </c>
      <c r="K142" s="113" t="str">
        <f t="shared" si="4"/>
        <v>Failed</v>
      </c>
      <c r="L14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42" s="50" t="s">
        <v>353</v>
      </c>
    </row>
    <row r="143" spans="1:13">
      <c r="A143" s="15">
        <v>138</v>
      </c>
      <c r="B143" s="15" t="s">
        <v>57</v>
      </c>
      <c r="C143" s="33" t="s">
        <v>397</v>
      </c>
      <c r="D143" s="33" t="s">
        <v>393</v>
      </c>
      <c r="E143" s="33" t="s">
        <v>59</v>
      </c>
      <c r="F143" s="33" t="s">
        <v>24</v>
      </c>
      <c r="G143" s="33">
        <v>54000</v>
      </c>
      <c r="H143" s="112">
        <v>0.62152777777777779</v>
      </c>
      <c r="I143" s="112">
        <v>0.71736111111111101</v>
      </c>
      <c r="J143" s="30">
        <f t="shared" si="5"/>
        <v>9.5833333333333215E-2</v>
      </c>
      <c r="K143" s="113" t="str">
        <f t="shared" si="4"/>
        <v>Failed</v>
      </c>
      <c r="L14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43" s="50" t="s">
        <v>353</v>
      </c>
    </row>
    <row r="144" spans="1:13">
      <c r="A144" s="15">
        <v>139</v>
      </c>
      <c r="B144" s="15" t="s">
        <v>57</v>
      </c>
      <c r="C144" s="33" t="s">
        <v>458</v>
      </c>
      <c r="D144" s="33" t="s">
        <v>396</v>
      </c>
      <c r="E144" s="33" t="s">
        <v>78</v>
      </c>
      <c r="F144" s="33" t="s">
        <v>31</v>
      </c>
      <c r="G144" s="33">
        <v>13500</v>
      </c>
      <c r="H144" s="112">
        <v>0.6381944444444444</v>
      </c>
      <c r="I144" s="112">
        <v>0.70138888888888884</v>
      </c>
      <c r="J144" s="30">
        <f t="shared" si="5"/>
        <v>6.3194444444444442E-2</v>
      </c>
      <c r="K144" s="113" t="str">
        <f t="shared" si="4"/>
        <v>No Remarks</v>
      </c>
      <c r="L14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44" s="114"/>
    </row>
    <row r="145" spans="1:13">
      <c r="A145" s="15">
        <v>140</v>
      </c>
      <c r="B145" s="15" t="s">
        <v>57</v>
      </c>
      <c r="C145" s="33" t="s">
        <v>150</v>
      </c>
      <c r="D145" s="33" t="s">
        <v>396</v>
      </c>
      <c r="E145" s="33" t="s">
        <v>78</v>
      </c>
      <c r="F145" s="33" t="s">
        <v>31</v>
      </c>
      <c r="G145" s="33">
        <v>13500</v>
      </c>
      <c r="H145" s="112">
        <v>0.62708333333333333</v>
      </c>
      <c r="I145" s="112">
        <v>0.68055555555555547</v>
      </c>
      <c r="J145" s="30">
        <f t="shared" si="5"/>
        <v>5.3472222222222143E-2</v>
      </c>
      <c r="K145" s="113" t="str">
        <f t="shared" si="4"/>
        <v>No Remarks</v>
      </c>
      <c r="L14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45" s="114"/>
    </row>
    <row r="146" spans="1:13">
      <c r="A146" s="15">
        <v>141</v>
      </c>
      <c r="B146" s="15" t="s">
        <v>57</v>
      </c>
      <c r="C146" s="33" t="s">
        <v>290</v>
      </c>
      <c r="D146" s="33" t="s">
        <v>396</v>
      </c>
      <c r="E146" s="33" t="s">
        <v>176</v>
      </c>
      <c r="F146" s="33" t="s">
        <v>24</v>
      </c>
      <c r="G146" s="33">
        <v>54000</v>
      </c>
      <c r="H146" s="112">
        <v>0.60347222222222219</v>
      </c>
      <c r="I146" s="112">
        <v>0.67083333333333339</v>
      </c>
      <c r="J146" s="30">
        <f t="shared" si="5"/>
        <v>6.7361111111111205E-2</v>
      </c>
      <c r="K146" s="113" t="str">
        <f t="shared" si="4"/>
        <v>Passed</v>
      </c>
      <c r="L14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46" s="50"/>
    </row>
    <row r="147" spans="1:13">
      <c r="A147" s="15">
        <v>142</v>
      </c>
      <c r="B147" s="15" t="s">
        <v>57</v>
      </c>
      <c r="C147" s="33" t="s">
        <v>215</v>
      </c>
      <c r="D147" s="33" t="s">
        <v>58</v>
      </c>
      <c r="E147" s="33" t="s">
        <v>149</v>
      </c>
      <c r="F147" s="33" t="s">
        <v>31</v>
      </c>
      <c r="G147" s="33">
        <v>27000</v>
      </c>
      <c r="H147" s="112">
        <v>0.60902777777777783</v>
      </c>
      <c r="I147" s="112">
        <v>0.67708333333333337</v>
      </c>
      <c r="J147" s="30">
        <f t="shared" si="5"/>
        <v>6.8055555555555536E-2</v>
      </c>
      <c r="K147" s="113" t="str">
        <f t="shared" si="4"/>
        <v>No Remarks</v>
      </c>
      <c r="L14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47" s="114"/>
    </row>
    <row r="148" spans="1:13">
      <c r="A148" s="15">
        <v>143</v>
      </c>
      <c r="B148" s="15" t="s">
        <v>57</v>
      </c>
      <c r="C148" s="33" t="s">
        <v>529</v>
      </c>
      <c r="D148" s="33" t="s">
        <v>396</v>
      </c>
      <c r="E148" s="33" t="s">
        <v>216</v>
      </c>
      <c r="F148" s="33" t="s">
        <v>31</v>
      </c>
      <c r="G148" s="33">
        <v>54000</v>
      </c>
      <c r="H148" s="112">
        <v>0.60833333333333328</v>
      </c>
      <c r="I148" s="112">
        <v>0.70833333333333337</v>
      </c>
      <c r="J148" s="30">
        <f t="shared" si="5"/>
        <v>0.10000000000000009</v>
      </c>
      <c r="K148" s="113" t="str">
        <f t="shared" si="4"/>
        <v>Failed</v>
      </c>
      <c r="L14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48" s="50" t="s">
        <v>354</v>
      </c>
    </row>
    <row r="149" spans="1:13">
      <c r="A149" s="15">
        <v>144</v>
      </c>
      <c r="B149" s="15" t="s">
        <v>57</v>
      </c>
      <c r="C149" s="33" t="s">
        <v>214</v>
      </c>
      <c r="D149" s="33" t="s">
        <v>396</v>
      </c>
      <c r="E149" s="33" t="s">
        <v>342</v>
      </c>
      <c r="F149" s="33" t="s">
        <v>31</v>
      </c>
      <c r="G149" s="33">
        <v>13500</v>
      </c>
      <c r="H149" s="112">
        <v>0.62083333333333335</v>
      </c>
      <c r="I149" s="112">
        <v>0.6694444444444444</v>
      </c>
      <c r="J149" s="30">
        <f t="shared" si="5"/>
        <v>4.8611111111111049E-2</v>
      </c>
      <c r="K149" s="113" t="str">
        <f t="shared" si="4"/>
        <v>No Remarks</v>
      </c>
      <c r="L14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49" s="50"/>
    </row>
    <row r="150" spans="1:13">
      <c r="A150" s="15">
        <v>145</v>
      </c>
      <c r="B150" s="15" t="s">
        <v>57</v>
      </c>
      <c r="C150" s="33" t="s">
        <v>386</v>
      </c>
      <c r="D150" s="33" t="s">
        <v>346</v>
      </c>
      <c r="E150" s="33" t="s">
        <v>71</v>
      </c>
      <c r="F150" s="33" t="s">
        <v>31</v>
      </c>
      <c r="G150" s="33">
        <v>13500</v>
      </c>
      <c r="H150" s="112">
        <v>0.61597222222222225</v>
      </c>
      <c r="I150" s="112">
        <v>0.67361111111111116</v>
      </c>
      <c r="J150" s="30">
        <f t="shared" si="5"/>
        <v>5.7638888888888906E-2</v>
      </c>
      <c r="K150" s="113" t="str">
        <f t="shared" si="4"/>
        <v>No Remarks</v>
      </c>
      <c r="L15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50" s="114"/>
    </row>
    <row r="151" spans="1:13">
      <c r="A151" s="15">
        <v>146</v>
      </c>
      <c r="B151" s="15" t="s">
        <v>57</v>
      </c>
      <c r="C151" s="33" t="s">
        <v>276</v>
      </c>
      <c r="D151" s="33" t="s">
        <v>530</v>
      </c>
      <c r="E151" s="33" t="s">
        <v>72</v>
      </c>
      <c r="F151" s="33" t="s">
        <v>24</v>
      </c>
      <c r="G151" s="33">
        <v>27000</v>
      </c>
      <c r="H151" s="112">
        <v>0.61249999999999993</v>
      </c>
      <c r="I151" s="112">
        <v>0.6694444444444444</v>
      </c>
      <c r="J151" s="30">
        <f t="shared" si="5"/>
        <v>5.6944444444444464E-2</v>
      </c>
      <c r="K151" s="113" t="str">
        <f t="shared" si="4"/>
        <v>No Remarks</v>
      </c>
      <c r="L15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51" s="50"/>
    </row>
    <row r="152" spans="1:13">
      <c r="A152" s="15">
        <v>147</v>
      </c>
      <c r="B152" s="15" t="s">
        <v>57</v>
      </c>
      <c r="C152" s="33" t="s">
        <v>211</v>
      </c>
      <c r="D152" s="33" t="s">
        <v>470</v>
      </c>
      <c r="E152" s="33" t="s">
        <v>454</v>
      </c>
      <c r="F152" s="33" t="s">
        <v>31</v>
      </c>
      <c r="G152" s="33">
        <v>13500</v>
      </c>
      <c r="H152" s="112">
        <v>0.60972222222222217</v>
      </c>
      <c r="I152" s="112">
        <v>0.69444444444444453</v>
      </c>
      <c r="J152" s="30">
        <f t="shared" si="5"/>
        <v>8.4722222222222365E-2</v>
      </c>
      <c r="K152" s="113" t="str">
        <f t="shared" si="4"/>
        <v>No Remarks</v>
      </c>
      <c r="L15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52" s="50"/>
    </row>
    <row r="153" spans="1:13">
      <c r="A153" s="15">
        <v>148</v>
      </c>
      <c r="B153" s="15" t="s">
        <v>57</v>
      </c>
      <c r="C153" s="33" t="s">
        <v>292</v>
      </c>
      <c r="D153" s="33" t="s">
        <v>60</v>
      </c>
      <c r="E153" s="33" t="s">
        <v>73</v>
      </c>
      <c r="F153" s="33" t="s">
        <v>31</v>
      </c>
      <c r="G153" s="33">
        <v>27000</v>
      </c>
      <c r="H153" s="112">
        <v>0.6</v>
      </c>
      <c r="I153" s="112">
        <v>0.65972222222222221</v>
      </c>
      <c r="J153" s="30">
        <f t="shared" si="5"/>
        <v>5.9722222222222232E-2</v>
      </c>
      <c r="K153" s="113" t="str">
        <f t="shared" si="4"/>
        <v>No Remarks</v>
      </c>
      <c r="L15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53" s="50"/>
    </row>
    <row r="154" spans="1:13">
      <c r="A154" s="15">
        <v>149</v>
      </c>
      <c r="B154" s="15" t="s">
        <v>57</v>
      </c>
      <c r="C154" s="33" t="s">
        <v>472</v>
      </c>
      <c r="D154" s="33" t="s">
        <v>120</v>
      </c>
      <c r="E154" s="33" t="s">
        <v>121</v>
      </c>
      <c r="F154" s="33" t="s">
        <v>24</v>
      </c>
      <c r="G154" s="33">
        <v>27000</v>
      </c>
      <c r="H154" s="112">
        <v>0.60416666666666663</v>
      </c>
      <c r="I154" s="112">
        <v>0.65833333333333333</v>
      </c>
      <c r="J154" s="30">
        <f t="shared" si="5"/>
        <v>5.4166666666666696E-2</v>
      </c>
      <c r="K154" s="113" t="str">
        <f t="shared" si="4"/>
        <v>No Remarks</v>
      </c>
      <c r="L15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54" s="114"/>
    </row>
    <row r="155" spans="1:13">
      <c r="A155" s="15">
        <v>150</v>
      </c>
      <c r="B155" s="15" t="s">
        <v>57</v>
      </c>
      <c r="C155" s="33" t="s">
        <v>279</v>
      </c>
      <c r="D155" s="33" t="s">
        <v>393</v>
      </c>
      <c r="E155" s="33" t="s">
        <v>59</v>
      </c>
      <c r="F155" s="33" t="s">
        <v>24</v>
      </c>
      <c r="G155" s="33">
        <v>13500</v>
      </c>
      <c r="H155" s="112">
        <v>0.60069444444444442</v>
      </c>
      <c r="I155" s="112">
        <v>0.65694444444444444</v>
      </c>
      <c r="J155" s="30">
        <f t="shared" si="5"/>
        <v>5.6250000000000022E-2</v>
      </c>
      <c r="K155" s="113" t="str">
        <f t="shared" si="4"/>
        <v>No Remarks</v>
      </c>
      <c r="L15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55" s="114"/>
    </row>
    <row r="156" spans="1:13">
      <c r="A156" s="15">
        <v>151</v>
      </c>
      <c r="B156" s="15" t="s">
        <v>57</v>
      </c>
      <c r="C156" s="33" t="s">
        <v>348</v>
      </c>
      <c r="D156" s="33" t="s">
        <v>530</v>
      </c>
      <c r="E156" s="33" t="s">
        <v>72</v>
      </c>
      <c r="F156" s="33" t="s">
        <v>24</v>
      </c>
      <c r="G156" s="33">
        <v>36000</v>
      </c>
      <c r="H156" s="112">
        <v>0.5854166666666667</v>
      </c>
      <c r="I156" s="112">
        <v>0.6958333333333333</v>
      </c>
      <c r="J156" s="30">
        <f t="shared" si="5"/>
        <v>0.11041666666666661</v>
      </c>
      <c r="K156" s="113" t="str">
        <f t="shared" si="4"/>
        <v>No Remarks</v>
      </c>
      <c r="L15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156" s="114"/>
    </row>
    <row r="157" spans="1:13">
      <c r="A157" s="15">
        <v>152</v>
      </c>
      <c r="B157" s="15" t="s">
        <v>57</v>
      </c>
      <c r="C157" s="33" t="s">
        <v>219</v>
      </c>
      <c r="D157" s="33" t="s">
        <v>81</v>
      </c>
      <c r="E157" s="33" t="s">
        <v>82</v>
      </c>
      <c r="F157" s="33" t="s">
        <v>31</v>
      </c>
      <c r="G157" s="33">
        <v>54000</v>
      </c>
      <c r="H157" s="112">
        <v>0.56111111111111112</v>
      </c>
      <c r="I157" s="112">
        <v>0.6875</v>
      </c>
      <c r="J157" s="30">
        <f t="shared" si="5"/>
        <v>0.12638888888888888</v>
      </c>
      <c r="K157" s="113" t="str">
        <f t="shared" si="4"/>
        <v>Failed</v>
      </c>
      <c r="L15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x10</v>
      </c>
      <c r="M157" s="50" t="s">
        <v>354</v>
      </c>
    </row>
    <row r="158" spans="1:13">
      <c r="A158" s="15">
        <v>153</v>
      </c>
      <c r="B158" s="15" t="s">
        <v>57</v>
      </c>
      <c r="C158" s="33" t="s">
        <v>495</v>
      </c>
      <c r="D158" s="33" t="s">
        <v>393</v>
      </c>
      <c r="E158" s="33" t="s">
        <v>238</v>
      </c>
      <c r="F158" s="33" t="s">
        <v>31</v>
      </c>
      <c r="G158" s="33">
        <v>31500</v>
      </c>
      <c r="H158" s="112">
        <v>0.58194444444444449</v>
      </c>
      <c r="I158" s="112">
        <v>0.6694444444444444</v>
      </c>
      <c r="J158" s="30">
        <f t="shared" si="5"/>
        <v>8.7499999999999911E-2</v>
      </c>
      <c r="K158" s="113" t="str">
        <f t="shared" si="4"/>
        <v>No Remarks</v>
      </c>
      <c r="L15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58" s="114"/>
    </row>
    <row r="159" spans="1:13">
      <c r="A159" s="15">
        <v>154</v>
      </c>
      <c r="B159" s="15" t="s">
        <v>57</v>
      </c>
      <c r="C159" s="33" t="s">
        <v>340</v>
      </c>
      <c r="D159" s="33" t="s">
        <v>470</v>
      </c>
      <c r="E159" s="33" t="s">
        <v>59</v>
      </c>
      <c r="F159" s="33" t="s">
        <v>24</v>
      </c>
      <c r="G159" s="33">
        <v>13500</v>
      </c>
      <c r="H159" s="112">
        <v>0.6020833333333333</v>
      </c>
      <c r="I159" s="112">
        <v>0.66249999999999998</v>
      </c>
      <c r="J159" s="30">
        <f t="shared" si="5"/>
        <v>6.0416666666666674E-2</v>
      </c>
      <c r="K159" s="113" t="str">
        <f t="shared" si="4"/>
        <v>No Remarks</v>
      </c>
      <c r="L15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59" s="50"/>
    </row>
    <row r="160" spans="1:13">
      <c r="A160" s="15">
        <v>155</v>
      </c>
      <c r="B160" s="15" t="s">
        <v>57</v>
      </c>
      <c r="C160" s="33" t="s">
        <v>531</v>
      </c>
      <c r="D160" s="33" t="s">
        <v>266</v>
      </c>
      <c r="E160" s="33" t="s">
        <v>526</v>
      </c>
      <c r="F160" s="33" t="s">
        <v>31</v>
      </c>
      <c r="G160" s="33">
        <v>54000</v>
      </c>
      <c r="H160" s="112">
        <v>0.5805555555555556</v>
      </c>
      <c r="I160" s="112">
        <v>0.66875000000000007</v>
      </c>
      <c r="J160" s="30">
        <f t="shared" si="5"/>
        <v>8.8194444444444464E-2</v>
      </c>
      <c r="K160" s="113" t="str">
        <f t="shared" si="4"/>
        <v>Failed</v>
      </c>
      <c r="L16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60" s="50" t="s">
        <v>354</v>
      </c>
    </row>
    <row r="161" spans="1:13">
      <c r="A161" s="15">
        <v>156</v>
      </c>
      <c r="B161" s="15" t="s">
        <v>57</v>
      </c>
      <c r="C161" s="33" t="s">
        <v>532</v>
      </c>
      <c r="D161" s="33" t="s">
        <v>58</v>
      </c>
      <c r="E161" s="33" t="s">
        <v>418</v>
      </c>
      <c r="F161" s="33" t="s">
        <v>31</v>
      </c>
      <c r="G161" s="33">
        <v>13500</v>
      </c>
      <c r="H161" s="112">
        <v>0.56388888888888888</v>
      </c>
      <c r="I161" s="112">
        <v>0.65833333333333333</v>
      </c>
      <c r="J161" s="30">
        <f t="shared" si="5"/>
        <v>9.4444444444444442E-2</v>
      </c>
      <c r="K161" s="113" t="str">
        <f t="shared" si="4"/>
        <v>No Remarks</v>
      </c>
      <c r="L16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x7</v>
      </c>
      <c r="M161" s="50"/>
    </row>
    <row r="162" spans="1:13">
      <c r="A162" s="15">
        <v>157</v>
      </c>
      <c r="B162" s="15" t="s">
        <v>57</v>
      </c>
      <c r="C162" s="33" t="s">
        <v>119</v>
      </c>
      <c r="D162" s="33" t="s">
        <v>530</v>
      </c>
      <c r="E162" s="33" t="s">
        <v>72</v>
      </c>
      <c r="F162" s="33" t="s">
        <v>24</v>
      </c>
      <c r="G162" s="33">
        <v>36000</v>
      </c>
      <c r="H162" s="112">
        <v>0.58472222222222225</v>
      </c>
      <c r="I162" s="112">
        <v>0.65277777777777779</v>
      </c>
      <c r="J162" s="30">
        <f t="shared" si="5"/>
        <v>6.8055555555555536E-2</v>
      </c>
      <c r="K162" s="113" t="str">
        <f t="shared" si="4"/>
        <v>No Remarks</v>
      </c>
      <c r="L16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62" s="114"/>
    </row>
    <row r="163" spans="1:13">
      <c r="A163" s="15">
        <v>158</v>
      </c>
      <c r="B163" s="15" t="s">
        <v>57</v>
      </c>
      <c r="C163" s="33" t="s">
        <v>134</v>
      </c>
      <c r="D163" s="33" t="s">
        <v>452</v>
      </c>
      <c r="E163" s="33" t="s">
        <v>79</v>
      </c>
      <c r="F163" s="33" t="s">
        <v>24</v>
      </c>
      <c r="G163" s="33">
        <v>36000</v>
      </c>
      <c r="H163" s="112">
        <v>0.5756944444444444</v>
      </c>
      <c r="I163" s="112">
        <v>0.63541666666666663</v>
      </c>
      <c r="J163" s="30">
        <f t="shared" si="5"/>
        <v>5.9722222222222232E-2</v>
      </c>
      <c r="K163" s="113" t="str">
        <f t="shared" si="4"/>
        <v>No Remarks</v>
      </c>
      <c r="L16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63" s="50"/>
    </row>
    <row r="164" spans="1:13">
      <c r="A164" s="15">
        <v>159</v>
      </c>
      <c r="B164" s="15" t="s">
        <v>57</v>
      </c>
      <c r="C164" s="33" t="s">
        <v>497</v>
      </c>
      <c r="D164" s="33" t="s">
        <v>188</v>
      </c>
      <c r="E164" s="33" t="s">
        <v>189</v>
      </c>
      <c r="F164" s="33" t="s">
        <v>24</v>
      </c>
      <c r="G164" s="33">
        <v>54000</v>
      </c>
      <c r="H164" s="112">
        <v>0.5625</v>
      </c>
      <c r="I164" s="112">
        <v>0.63263888888888886</v>
      </c>
      <c r="J164" s="30">
        <f t="shared" si="5"/>
        <v>7.0138888888888862E-2</v>
      </c>
      <c r="K164" s="113" t="str">
        <f t="shared" si="4"/>
        <v>Passed</v>
      </c>
      <c r="L16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64" s="50"/>
    </row>
    <row r="165" spans="1:13">
      <c r="A165" s="15">
        <v>160</v>
      </c>
      <c r="B165" s="15" t="s">
        <v>57</v>
      </c>
      <c r="C165" s="33" t="s">
        <v>180</v>
      </c>
      <c r="D165" s="33" t="s">
        <v>396</v>
      </c>
      <c r="E165" s="33" t="s">
        <v>342</v>
      </c>
      <c r="F165" s="33" t="s">
        <v>31</v>
      </c>
      <c r="G165" s="33">
        <v>27000</v>
      </c>
      <c r="H165" s="112">
        <v>0.57986111111111105</v>
      </c>
      <c r="I165" s="112">
        <v>0.62152777777777779</v>
      </c>
      <c r="J165" s="30">
        <f t="shared" si="5"/>
        <v>4.1666666666666741E-2</v>
      </c>
      <c r="K165" s="113" t="str">
        <f t="shared" si="4"/>
        <v>No Remarks</v>
      </c>
      <c r="L16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65" s="114"/>
    </row>
    <row r="166" spans="1:13">
      <c r="A166" s="15">
        <v>161</v>
      </c>
      <c r="B166" s="15" t="s">
        <v>57</v>
      </c>
      <c r="C166" s="33" t="s">
        <v>507</v>
      </c>
      <c r="D166" s="33" t="s">
        <v>120</v>
      </c>
      <c r="E166" s="33" t="s">
        <v>121</v>
      </c>
      <c r="F166" s="33" t="s">
        <v>24</v>
      </c>
      <c r="G166" s="33">
        <v>13500</v>
      </c>
      <c r="H166" s="112">
        <v>0.58750000000000002</v>
      </c>
      <c r="I166" s="112">
        <v>0.65625</v>
      </c>
      <c r="J166" s="30">
        <f t="shared" si="5"/>
        <v>6.8749999999999978E-2</v>
      </c>
      <c r="K166" s="113" t="str">
        <f t="shared" si="4"/>
        <v>No Remarks</v>
      </c>
      <c r="L16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66" s="114"/>
    </row>
    <row r="167" spans="1:13">
      <c r="A167" s="15">
        <v>162</v>
      </c>
      <c r="B167" s="15" t="s">
        <v>57</v>
      </c>
      <c r="C167" s="33" t="s">
        <v>533</v>
      </c>
      <c r="D167" s="33" t="s">
        <v>266</v>
      </c>
      <c r="E167" s="33" t="s">
        <v>526</v>
      </c>
      <c r="F167" s="33" t="s">
        <v>24</v>
      </c>
      <c r="G167" s="33">
        <v>52000</v>
      </c>
      <c r="H167" s="112">
        <v>0.56041666666666667</v>
      </c>
      <c r="I167" s="112">
        <v>0.63888888888888895</v>
      </c>
      <c r="J167" s="30">
        <f t="shared" si="5"/>
        <v>7.8472222222222276E-2</v>
      </c>
      <c r="K167" s="113" t="str">
        <f t="shared" si="4"/>
        <v>Failed</v>
      </c>
      <c r="L16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67" s="50" t="s">
        <v>353</v>
      </c>
    </row>
    <row r="168" spans="1:13">
      <c r="A168" s="15">
        <v>163</v>
      </c>
      <c r="B168" s="15" t="s">
        <v>57</v>
      </c>
      <c r="C168" s="33" t="s">
        <v>343</v>
      </c>
      <c r="D168" s="33" t="s">
        <v>346</v>
      </c>
      <c r="E168" s="33" t="s">
        <v>71</v>
      </c>
      <c r="F168" s="33" t="s">
        <v>24</v>
      </c>
      <c r="G168" s="33">
        <v>13500</v>
      </c>
      <c r="H168" s="112">
        <v>0.57361111111111118</v>
      </c>
      <c r="I168" s="112">
        <v>0.64097222222222217</v>
      </c>
      <c r="J168" s="30">
        <f t="shared" si="5"/>
        <v>6.7361111111110983E-2</v>
      </c>
      <c r="K168" s="113" t="str">
        <f t="shared" si="4"/>
        <v>No Remarks</v>
      </c>
      <c r="L16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68" s="114"/>
    </row>
    <row r="169" spans="1:13">
      <c r="A169" s="15">
        <v>164</v>
      </c>
      <c r="B169" s="15" t="s">
        <v>57</v>
      </c>
      <c r="C169" s="33" t="s">
        <v>534</v>
      </c>
      <c r="D169" s="33" t="s">
        <v>467</v>
      </c>
      <c r="E169" s="33" t="s">
        <v>177</v>
      </c>
      <c r="F169" s="33" t="s">
        <v>31</v>
      </c>
      <c r="G169" s="33">
        <v>18000</v>
      </c>
      <c r="H169" s="112">
        <v>0.55138888888888882</v>
      </c>
      <c r="I169" s="112">
        <v>0.63194444444444442</v>
      </c>
      <c r="J169" s="30">
        <f t="shared" si="5"/>
        <v>8.0555555555555602E-2</v>
      </c>
      <c r="K169" s="113" t="str">
        <f t="shared" si="4"/>
        <v>No Remarks</v>
      </c>
      <c r="L16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69" s="50"/>
    </row>
    <row r="170" spans="1:13">
      <c r="A170" s="15">
        <v>165</v>
      </c>
      <c r="B170" s="15" t="s">
        <v>57</v>
      </c>
      <c r="C170" s="33" t="s">
        <v>135</v>
      </c>
      <c r="D170" s="33" t="s">
        <v>346</v>
      </c>
      <c r="E170" s="33" t="s">
        <v>71</v>
      </c>
      <c r="F170" s="33" t="s">
        <v>24</v>
      </c>
      <c r="G170" s="33">
        <v>13500</v>
      </c>
      <c r="H170" s="112">
        <v>0.57430555555555551</v>
      </c>
      <c r="I170" s="112">
        <v>0.64236111111111105</v>
      </c>
      <c r="J170" s="30">
        <f t="shared" si="5"/>
        <v>6.8055555555555536E-2</v>
      </c>
      <c r="K170" s="113" t="str">
        <f t="shared" si="4"/>
        <v>No Remarks</v>
      </c>
      <c r="L17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70" s="114"/>
    </row>
    <row r="171" spans="1:13">
      <c r="A171" s="15">
        <v>166</v>
      </c>
      <c r="B171" s="15" t="s">
        <v>57</v>
      </c>
      <c r="C171" s="33" t="s">
        <v>401</v>
      </c>
      <c r="D171" s="33" t="s">
        <v>346</v>
      </c>
      <c r="E171" s="33" t="s">
        <v>208</v>
      </c>
      <c r="F171" s="33" t="s">
        <v>31</v>
      </c>
      <c r="G171" s="33">
        <v>54000</v>
      </c>
      <c r="H171" s="112">
        <v>0.55902777777777779</v>
      </c>
      <c r="I171" s="112">
        <v>0.61458333333333337</v>
      </c>
      <c r="J171" s="30">
        <f t="shared" si="5"/>
        <v>5.555555555555558E-2</v>
      </c>
      <c r="K171" s="113" t="str">
        <f t="shared" si="4"/>
        <v>Passed</v>
      </c>
      <c r="L17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71" s="114"/>
    </row>
    <row r="172" spans="1:13">
      <c r="A172" s="15">
        <v>167</v>
      </c>
      <c r="B172" s="15" t="s">
        <v>57</v>
      </c>
      <c r="C172" s="33" t="s">
        <v>535</v>
      </c>
      <c r="D172" s="33" t="s">
        <v>70</v>
      </c>
      <c r="E172" s="33" t="s">
        <v>233</v>
      </c>
      <c r="F172" s="33" t="s">
        <v>24</v>
      </c>
      <c r="G172" s="33">
        <v>40500</v>
      </c>
      <c r="H172" s="112">
        <v>0.55833333333333335</v>
      </c>
      <c r="I172" s="112">
        <v>0.61875000000000002</v>
      </c>
      <c r="J172" s="30">
        <f t="shared" si="5"/>
        <v>6.0416666666666674E-2</v>
      </c>
      <c r="K172" s="113" t="str">
        <f t="shared" si="4"/>
        <v>No Remarks</v>
      </c>
      <c r="L17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72" s="114"/>
    </row>
    <row r="173" spans="1:13">
      <c r="A173" s="15">
        <v>168</v>
      </c>
      <c r="B173" s="15" t="s">
        <v>57</v>
      </c>
      <c r="C173" s="33" t="s">
        <v>500</v>
      </c>
      <c r="D173" s="33" t="s">
        <v>81</v>
      </c>
      <c r="E173" s="33" t="s">
        <v>82</v>
      </c>
      <c r="F173" s="33" t="s">
        <v>31</v>
      </c>
      <c r="G173" s="33">
        <v>54000</v>
      </c>
      <c r="H173" s="112">
        <v>0.53819444444444442</v>
      </c>
      <c r="I173" s="112">
        <v>0.61875000000000002</v>
      </c>
      <c r="J173" s="30">
        <f t="shared" si="5"/>
        <v>8.0555555555555602E-2</v>
      </c>
      <c r="K173" s="113" t="str">
        <f t="shared" si="4"/>
        <v>Failed</v>
      </c>
      <c r="L17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173" s="114"/>
    </row>
    <row r="174" spans="1:13">
      <c r="A174" s="15">
        <v>169</v>
      </c>
      <c r="B174" s="15" t="s">
        <v>57</v>
      </c>
      <c r="C174" s="33" t="s">
        <v>259</v>
      </c>
      <c r="D174" s="33" t="s">
        <v>60</v>
      </c>
      <c r="E174" s="33" t="s">
        <v>272</v>
      </c>
      <c r="F174" s="33" t="s">
        <v>24</v>
      </c>
      <c r="G174" s="33">
        <v>27000</v>
      </c>
      <c r="H174" s="112">
        <v>0.56180555555555556</v>
      </c>
      <c r="I174" s="112">
        <v>0.60069444444444442</v>
      </c>
      <c r="J174" s="30">
        <f t="shared" si="5"/>
        <v>3.8888888888888862E-2</v>
      </c>
      <c r="K174" s="113" t="str">
        <f t="shared" si="4"/>
        <v>No Remarks</v>
      </c>
      <c r="L17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174" s="50"/>
    </row>
    <row r="175" spans="1:13">
      <c r="A175" s="15">
        <v>170</v>
      </c>
      <c r="B175" s="15" t="s">
        <v>57</v>
      </c>
      <c r="C175" s="33" t="s">
        <v>341</v>
      </c>
      <c r="D175" s="33" t="s">
        <v>346</v>
      </c>
      <c r="E175" s="33" t="s">
        <v>71</v>
      </c>
      <c r="F175" s="33" t="s">
        <v>31</v>
      </c>
      <c r="G175" s="33">
        <v>13500</v>
      </c>
      <c r="H175" s="112">
        <v>0.54513888888888895</v>
      </c>
      <c r="I175" s="112">
        <v>0.6</v>
      </c>
      <c r="J175" s="30">
        <f t="shared" si="5"/>
        <v>5.4861111111111027E-2</v>
      </c>
      <c r="K175" s="113" t="str">
        <f t="shared" si="4"/>
        <v>No Remarks</v>
      </c>
      <c r="L17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75" s="114"/>
    </row>
    <row r="176" spans="1:13">
      <c r="A176" s="15">
        <v>171</v>
      </c>
      <c r="B176" s="15" t="s">
        <v>57</v>
      </c>
      <c r="C176" s="33" t="s">
        <v>76</v>
      </c>
      <c r="D176" s="33" t="s">
        <v>60</v>
      </c>
      <c r="E176" s="33" t="s">
        <v>73</v>
      </c>
      <c r="F176" s="33" t="s">
        <v>24</v>
      </c>
      <c r="G176" s="33">
        <v>54000</v>
      </c>
      <c r="H176" s="112">
        <v>0.54791666666666672</v>
      </c>
      <c r="I176" s="112">
        <v>0.61041666666666672</v>
      </c>
      <c r="J176" s="30">
        <f t="shared" si="5"/>
        <v>6.25E-2</v>
      </c>
      <c r="K176" s="113" t="str">
        <f t="shared" si="4"/>
        <v>Passed</v>
      </c>
      <c r="L17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76" s="114"/>
    </row>
    <row r="177" spans="1:22">
      <c r="A177" s="15">
        <v>172</v>
      </c>
      <c r="B177" s="15" t="s">
        <v>57</v>
      </c>
      <c r="C177" s="33" t="s">
        <v>335</v>
      </c>
      <c r="D177" s="33" t="s">
        <v>58</v>
      </c>
      <c r="E177" s="33" t="s">
        <v>418</v>
      </c>
      <c r="F177" s="33" t="s">
        <v>31</v>
      </c>
      <c r="G177" s="33">
        <v>13500</v>
      </c>
      <c r="H177" s="112">
        <v>0.56180555555555556</v>
      </c>
      <c r="I177" s="112">
        <v>0.60833333333333328</v>
      </c>
      <c r="J177" s="30">
        <f t="shared" si="5"/>
        <v>4.6527777777777724E-2</v>
      </c>
      <c r="K177" s="113" t="str">
        <f t="shared" si="4"/>
        <v>No Remarks</v>
      </c>
      <c r="L17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77" s="114"/>
    </row>
    <row r="178" spans="1:22">
      <c r="A178" s="15">
        <v>173</v>
      </c>
      <c r="B178" s="15" t="s">
        <v>57</v>
      </c>
      <c r="C178" s="33" t="s">
        <v>415</v>
      </c>
      <c r="D178" s="33" t="s">
        <v>393</v>
      </c>
      <c r="E178" s="33" t="s">
        <v>416</v>
      </c>
      <c r="F178" s="33" t="s">
        <v>31</v>
      </c>
      <c r="G178" s="33">
        <v>13250</v>
      </c>
      <c r="H178" s="112">
        <v>0.5493055555555556</v>
      </c>
      <c r="I178" s="112">
        <v>0.59444444444444444</v>
      </c>
      <c r="J178" s="30">
        <f t="shared" si="5"/>
        <v>4.513888888888884E-2</v>
      </c>
      <c r="K178" s="113" t="str">
        <f t="shared" si="4"/>
        <v>No Remarks</v>
      </c>
      <c r="L17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78" s="50"/>
    </row>
    <row r="179" spans="1:22">
      <c r="A179" s="15">
        <v>174</v>
      </c>
      <c r="B179" s="15" t="s">
        <v>57</v>
      </c>
      <c r="C179" s="33" t="s">
        <v>471</v>
      </c>
      <c r="D179" s="33" t="s">
        <v>188</v>
      </c>
      <c r="E179" s="33" t="s">
        <v>189</v>
      </c>
      <c r="F179" s="33" t="s">
        <v>31</v>
      </c>
      <c r="G179" s="33">
        <v>54000</v>
      </c>
      <c r="H179" s="112">
        <v>0.52708333333333335</v>
      </c>
      <c r="I179" s="112">
        <v>0.59722222222222221</v>
      </c>
      <c r="J179" s="30">
        <f t="shared" si="5"/>
        <v>7.0138888888888862E-2</v>
      </c>
      <c r="K179" s="113" t="str">
        <f t="shared" si="4"/>
        <v>Passed</v>
      </c>
      <c r="L17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79" s="50"/>
    </row>
    <row r="180" spans="1:22">
      <c r="A180" s="15">
        <v>175</v>
      </c>
      <c r="B180" s="15" t="s">
        <v>57</v>
      </c>
      <c r="C180" s="33" t="s">
        <v>117</v>
      </c>
      <c r="D180" s="33" t="s">
        <v>346</v>
      </c>
      <c r="E180" s="33" t="s">
        <v>71</v>
      </c>
      <c r="F180" s="33" t="s">
        <v>31</v>
      </c>
      <c r="G180" s="33">
        <v>13500</v>
      </c>
      <c r="H180" s="112">
        <v>0.53888888888888886</v>
      </c>
      <c r="I180" s="112">
        <v>0.58750000000000002</v>
      </c>
      <c r="J180" s="30">
        <f t="shared" si="5"/>
        <v>4.861111111111116E-2</v>
      </c>
      <c r="K180" s="113" t="str">
        <f t="shared" si="4"/>
        <v>No Remarks</v>
      </c>
      <c r="L18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80" s="114"/>
    </row>
    <row r="181" spans="1:22">
      <c r="A181" s="15">
        <v>176</v>
      </c>
      <c r="B181" s="15" t="s">
        <v>57</v>
      </c>
      <c r="C181" s="33" t="s">
        <v>288</v>
      </c>
      <c r="D181" s="33" t="s">
        <v>470</v>
      </c>
      <c r="E181" s="33" t="s">
        <v>454</v>
      </c>
      <c r="F181" s="33" t="s">
        <v>24</v>
      </c>
      <c r="G181" s="33">
        <v>13500</v>
      </c>
      <c r="H181" s="112">
        <v>0.54722222222222217</v>
      </c>
      <c r="I181" s="112">
        <v>0.59861111111111109</v>
      </c>
      <c r="J181" s="30">
        <f t="shared" si="5"/>
        <v>5.1388888888888928E-2</v>
      </c>
      <c r="K181" s="113" t="str">
        <f t="shared" si="4"/>
        <v>No Remarks</v>
      </c>
      <c r="L18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81" s="114"/>
    </row>
    <row r="182" spans="1:22">
      <c r="A182" s="15">
        <v>177</v>
      </c>
      <c r="B182" s="15" t="s">
        <v>57</v>
      </c>
      <c r="C182" s="33" t="s">
        <v>116</v>
      </c>
      <c r="D182" s="33" t="s">
        <v>346</v>
      </c>
      <c r="E182" s="33" t="s">
        <v>71</v>
      </c>
      <c r="F182" s="33" t="s">
        <v>31</v>
      </c>
      <c r="G182" s="33">
        <v>13500</v>
      </c>
      <c r="H182" s="112">
        <v>0.52569444444444446</v>
      </c>
      <c r="I182" s="112">
        <v>0.57361111111111118</v>
      </c>
      <c r="J182" s="30">
        <f t="shared" si="5"/>
        <v>4.7916666666666718E-2</v>
      </c>
      <c r="K182" s="113" t="str">
        <f t="shared" si="4"/>
        <v>No Remarks</v>
      </c>
      <c r="L18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82" s="50"/>
    </row>
    <row r="183" spans="1:22">
      <c r="A183" s="15">
        <v>178</v>
      </c>
      <c r="B183" s="15" t="s">
        <v>57</v>
      </c>
      <c r="C183" s="33" t="s">
        <v>498</v>
      </c>
      <c r="D183" s="33" t="s">
        <v>70</v>
      </c>
      <c r="E183" s="33" t="s">
        <v>233</v>
      </c>
      <c r="F183" s="33" t="s">
        <v>24</v>
      </c>
      <c r="G183" s="33">
        <v>13500</v>
      </c>
      <c r="H183" s="112">
        <v>0.52916666666666667</v>
      </c>
      <c r="I183" s="112">
        <v>0.57222222222222219</v>
      </c>
      <c r="J183" s="30">
        <f t="shared" si="5"/>
        <v>4.3055555555555514E-2</v>
      </c>
      <c r="K183" s="113" t="str">
        <f t="shared" si="4"/>
        <v>No Remarks</v>
      </c>
      <c r="L18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83" s="50"/>
    </row>
    <row r="184" spans="1:22">
      <c r="A184" s="15">
        <v>179</v>
      </c>
      <c r="B184" s="15" t="s">
        <v>57</v>
      </c>
      <c r="C184" s="33" t="s">
        <v>482</v>
      </c>
      <c r="D184" s="33" t="s">
        <v>58</v>
      </c>
      <c r="E184" s="33" t="s">
        <v>418</v>
      </c>
      <c r="F184" s="33" t="s">
        <v>31</v>
      </c>
      <c r="G184" s="33">
        <v>27000</v>
      </c>
      <c r="H184" s="112">
        <v>0.50555555555555554</v>
      </c>
      <c r="I184" s="112">
        <v>0.57291666666666663</v>
      </c>
      <c r="J184" s="30">
        <f t="shared" si="5"/>
        <v>6.7361111111111094E-2</v>
      </c>
      <c r="K184" s="113" t="str">
        <f t="shared" si="4"/>
        <v>No Remarks</v>
      </c>
      <c r="L18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84" s="50"/>
    </row>
    <row r="185" spans="1:22">
      <c r="A185" s="15">
        <v>180</v>
      </c>
      <c r="B185" s="15" t="s">
        <v>57</v>
      </c>
      <c r="C185" s="33" t="s">
        <v>74</v>
      </c>
      <c r="D185" s="33" t="s">
        <v>60</v>
      </c>
      <c r="E185" s="33" t="s">
        <v>272</v>
      </c>
      <c r="F185" s="33" t="s">
        <v>31</v>
      </c>
      <c r="G185" s="33">
        <v>13500</v>
      </c>
      <c r="H185" s="112">
        <v>0.52777777777777779</v>
      </c>
      <c r="I185" s="112">
        <v>0.57986111111111105</v>
      </c>
      <c r="J185" s="30">
        <f t="shared" si="5"/>
        <v>5.2083333333333259E-2</v>
      </c>
      <c r="K185" s="113" t="str">
        <f t="shared" si="4"/>
        <v>No Remarks</v>
      </c>
      <c r="L18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85" s="114"/>
    </row>
    <row r="186" spans="1:22">
      <c r="A186" s="15">
        <v>181</v>
      </c>
      <c r="B186" s="15" t="s">
        <v>57</v>
      </c>
      <c r="C186" s="33" t="s">
        <v>212</v>
      </c>
      <c r="D186" s="33" t="s">
        <v>60</v>
      </c>
      <c r="E186" s="33" t="s">
        <v>73</v>
      </c>
      <c r="F186" s="33" t="s">
        <v>24</v>
      </c>
      <c r="G186" s="33">
        <v>27000</v>
      </c>
      <c r="H186" s="112">
        <v>0.52500000000000002</v>
      </c>
      <c r="I186" s="112">
        <v>0.56736111111111109</v>
      </c>
      <c r="J186" s="30">
        <f t="shared" si="5"/>
        <v>4.2361111111111072E-2</v>
      </c>
      <c r="K186" s="113" t="str">
        <f t="shared" si="4"/>
        <v>No Remarks</v>
      </c>
      <c r="L18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86" s="50"/>
    </row>
    <row r="187" spans="1:22">
      <c r="A187" s="15">
        <v>182</v>
      </c>
      <c r="B187" s="15" t="s">
        <v>57</v>
      </c>
      <c r="C187" s="33" t="s">
        <v>170</v>
      </c>
      <c r="D187" s="33" t="s">
        <v>481</v>
      </c>
      <c r="E187" s="33" t="s">
        <v>169</v>
      </c>
      <c r="F187" s="33" t="s">
        <v>31</v>
      </c>
      <c r="G187" s="33">
        <v>27000</v>
      </c>
      <c r="H187" s="112">
        <v>0.50347222222222221</v>
      </c>
      <c r="I187" s="112">
        <v>0.57013888888888886</v>
      </c>
      <c r="J187" s="30">
        <f t="shared" si="5"/>
        <v>6.6666666666666652E-2</v>
      </c>
      <c r="K187" s="113" t="str">
        <f t="shared" si="4"/>
        <v>No Remarks</v>
      </c>
      <c r="L18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87" s="114"/>
      <c r="U187" s="110"/>
      <c r="V187" s="110"/>
    </row>
    <row r="188" spans="1:22">
      <c r="A188" s="15">
        <v>183</v>
      </c>
      <c r="B188" s="15" t="s">
        <v>57</v>
      </c>
      <c r="C188" s="33" t="s">
        <v>241</v>
      </c>
      <c r="D188" s="33" t="s">
        <v>393</v>
      </c>
      <c r="E188" s="33" t="s">
        <v>485</v>
      </c>
      <c r="F188" s="33" t="s">
        <v>24</v>
      </c>
      <c r="G188" s="33">
        <v>13500</v>
      </c>
      <c r="H188" s="112">
        <v>0.52430555555555558</v>
      </c>
      <c r="I188" s="112">
        <v>0.56597222222222221</v>
      </c>
      <c r="J188" s="30">
        <f t="shared" si="5"/>
        <v>4.166666666666663E-2</v>
      </c>
      <c r="K188" s="113" t="str">
        <f t="shared" si="4"/>
        <v>No Remarks</v>
      </c>
      <c r="L18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188" s="50"/>
      <c r="V188" s="110"/>
    </row>
    <row r="189" spans="1:22">
      <c r="A189" s="15">
        <v>184</v>
      </c>
      <c r="B189" s="15" t="s">
        <v>57</v>
      </c>
      <c r="C189" s="33" t="s">
        <v>133</v>
      </c>
      <c r="D189" s="33" t="s">
        <v>396</v>
      </c>
      <c r="E189" s="33" t="s">
        <v>342</v>
      </c>
      <c r="F189" s="33" t="s">
        <v>31</v>
      </c>
      <c r="G189" s="33">
        <v>54000</v>
      </c>
      <c r="H189" s="112">
        <v>0.4909722222222222</v>
      </c>
      <c r="I189" s="112">
        <v>0.59652777777777777</v>
      </c>
      <c r="J189" s="30">
        <f t="shared" si="5"/>
        <v>0.10555555555555557</v>
      </c>
      <c r="K189" s="113" t="str">
        <f t="shared" si="4"/>
        <v>Failed</v>
      </c>
      <c r="L18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x8</v>
      </c>
      <c r="M189" s="50" t="s">
        <v>354</v>
      </c>
    </row>
    <row r="190" spans="1:22">
      <c r="A190" s="15">
        <v>185</v>
      </c>
      <c r="B190" s="15" t="s">
        <v>57</v>
      </c>
      <c r="C190" s="33" t="s">
        <v>387</v>
      </c>
      <c r="D190" s="33" t="s">
        <v>470</v>
      </c>
      <c r="E190" s="33" t="s">
        <v>454</v>
      </c>
      <c r="F190" s="33" t="s">
        <v>31</v>
      </c>
      <c r="G190" s="33">
        <v>13500</v>
      </c>
      <c r="H190" s="112">
        <v>0.50555555555555554</v>
      </c>
      <c r="I190" s="112">
        <v>0.56458333333333333</v>
      </c>
      <c r="J190" s="30">
        <f t="shared" si="5"/>
        <v>5.902777777777779E-2</v>
      </c>
      <c r="K190" s="113" t="str">
        <f t="shared" si="4"/>
        <v>No Remarks</v>
      </c>
      <c r="L19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90" s="114"/>
    </row>
    <row r="191" spans="1:22">
      <c r="A191" s="15">
        <v>186</v>
      </c>
      <c r="B191" s="15" t="s">
        <v>57</v>
      </c>
      <c r="C191" s="33" t="s">
        <v>536</v>
      </c>
      <c r="D191" s="33" t="s">
        <v>396</v>
      </c>
      <c r="E191" s="33" t="s">
        <v>342</v>
      </c>
      <c r="F191" s="33" t="s">
        <v>31</v>
      </c>
      <c r="G191" s="33">
        <v>13500</v>
      </c>
      <c r="H191" s="112">
        <v>0.47638888888888892</v>
      </c>
      <c r="I191" s="112">
        <v>0.5625</v>
      </c>
      <c r="J191" s="116">
        <f t="shared" ref="J191:J223" si="6">I191-H191</f>
        <v>8.6111111111111083E-2</v>
      </c>
      <c r="K191" s="113" t="str">
        <f t="shared" ref="K191:K223" si="7">IF(G191&lt;$H$3,"No Remarks",IF(AND(G191&gt;=$H$3,J191&lt;=$D$3),"Passed","Failed"))</f>
        <v>No Remarks</v>
      </c>
      <c r="L19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91" s="114"/>
    </row>
    <row r="192" spans="1:22">
      <c r="A192" s="15">
        <v>187</v>
      </c>
      <c r="B192" s="15" t="s">
        <v>57</v>
      </c>
      <c r="C192" s="33" t="s">
        <v>221</v>
      </c>
      <c r="D192" s="33" t="s">
        <v>452</v>
      </c>
      <c r="E192" s="33" t="s">
        <v>222</v>
      </c>
      <c r="F192" s="33" t="s">
        <v>31</v>
      </c>
      <c r="G192" s="33">
        <v>54000</v>
      </c>
      <c r="H192" s="112">
        <v>0.49027777777777781</v>
      </c>
      <c r="I192" s="112">
        <v>0.55555555555555558</v>
      </c>
      <c r="J192" s="116">
        <f t="shared" si="6"/>
        <v>6.5277777777777768E-2</v>
      </c>
      <c r="K192" s="113" t="str">
        <f t="shared" si="7"/>
        <v>Passed</v>
      </c>
      <c r="L19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92" s="114"/>
    </row>
    <row r="193" spans="1:13">
      <c r="A193" s="15">
        <v>188</v>
      </c>
      <c r="B193" s="15" t="s">
        <v>57</v>
      </c>
      <c r="C193" s="33" t="s">
        <v>239</v>
      </c>
      <c r="D193" s="33" t="s">
        <v>58</v>
      </c>
      <c r="E193" s="33" t="s">
        <v>226</v>
      </c>
      <c r="F193" s="33" t="s">
        <v>31</v>
      </c>
      <c r="G193" s="33">
        <v>13500</v>
      </c>
      <c r="H193" s="112">
        <v>0.50416666666666665</v>
      </c>
      <c r="I193" s="112">
        <v>0.57152777777777775</v>
      </c>
      <c r="J193" s="116">
        <f t="shared" si="6"/>
        <v>6.7361111111111094E-2</v>
      </c>
      <c r="K193" s="113" t="str">
        <f t="shared" si="7"/>
        <v>No Remarks</v>
      </c>
      <c r="L19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193" s="114"/>
    </row>
    <row r="194" spans="1:13">
      <c r="A194" s="15">
        <v>189</v>
      </c>
      <c r="B194" s="15" t="s">
        <v>57</v>
      </c>
      <c r="C194" s="33" t="s">
        <v>506</v>
      </c>
      <c r="D194" s="33" t="s">
        <v>61</v>
      </c>
      <c r="E194" s="33" t="s">
        <v>390</v>
      </c>
      <c r="F194" s="33" t="s">
        <v>31</v>
      </c>
      <c r="G194" s="33">
        <v>54000</v>
      </c>
      <c r="H194" s="112">
        <v>0.44027777777777777</v>
      </c>
      <c r="I194" s="112">
        <v>0.52500000000000002</v>
      </c>
      <c r="J194" s="116">
        <f t="shared" si="6"/>
        <v>8.4722222222222254E-2</v>
      </c>
      <c r="K194" s="113" t="str">
        <f t="shared" si="7"/>
        <v>Failed</v>
      </c>
      <c r="L19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194" s="50" t="s">
        <v>354</v>
      </c>
    </row>
    <row r="195" spans="1:13">
      <c r="A195" s="15">
        <v>190</v>
      </c>
      <c r="B195" s="15" t="s">
        <v>57</v>
      </c>
      <c r="C195" s="33" t="s">
        <v>223</v>
      </c>
      <c r="D195" s="33" t="s">
        <v>58</v>
      </c>
      <c r="E195" s="33" t="s">
        <v>418</v>
      </c>
      <c r="F195" s="33" t="s">
        <v>31</v>
      </c>
      <c r="G195" s="33">
        <v>13500</v>
      </c>
      <c r="H195" s="112">
        <v>0.4777777777777778</v>
      </c>
      <c r="I195" s="112">
        <v>0.52708333333333335</v>
      </c>
      <c r="J195" s="116">
        <f t="shared" si="6"/>
        <v>4.9305555555555547E-2</v>
      </c>
      <c r="K195" s="113" t="str">
        <f t="shared" si="7"/>
        <v>No Remarks</v>
      </c>
      <c r="L19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95" s="114"/>
    </row>
    <row r="196" spans="1:13">
      <c r="A196" s="15">
        <v>191</v>
      </c>
      <c r="B196" s="15" t="s">
        <v>57</v>
      </c>
      <c r="C196" s="33" t="s">
        <v>282</v>
      </c>
      <c r="D196" s="33" t="s">
        <v>396</v>
      </c>
      <c r="E196" s="33" t="s">
        <v>240</v>
      </c>
      <c r="F196" s="33" t="s">
        <v>31</v>
      </c>
      <c r="G196" s="33">
        <v>13500</v>
      </c>
      <c r="H196" s="112">
        <v>0.48958333333333331</v>
      </c>
      <c r="I196" s="112">
        <v>0.53125</v>
      </c>
      <c r="J196" s="116">
        <f t="shared" si="6"/>
        <v>4.1666666666666685E-2</v>
      </c>
      <c r="K196" s="113" t="str">
        <f t="shared" si="7"/>
        <v>No Remarks</v>
      </c>
      <c r="L19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96" s="114"/>
    </row>
    <row r="197" spans="1:13">
      <c r="A197" s="15">
        <v>192</v>
      </c>
      <c r="B197" s="15" t="s">
        <v>57</v>
      </c>
      <c r="C197" s="33" t="s">
        <v>277</v>
      </c>
      <c r="D197" s="33" t="s">
        <v>393</v>
      </c>
      <c r="E197" s="33" t="s">
        <v>209</v>
      </c>
      <c r="F197" s="33" t="s">
        <v>31</v>
      </c>
      <c r="G197" s="33">
        <v>27000</v>
      </c>
      <c r="H197" s="112">
        <v>0.47569444444444442</v>
      </c>
      <c r="I197" s="112">
        <v>0.53402777777777777</v>
      </c>
      <c r="J197" s="116">
        <f t="shared" si="6"/>
        <v>5.8333333333333348E-2</v>
      </c>
      <c r="K197" s="113" t="str">
        <f t="shared" si="7"/>
        <v>No Remarks</v>
      </c>
      <c r="L19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197" s="114"/>
    </row>
    <row r="198" spans="1:13">
      <c r="A198" s="15">
        <v>193</v>
      </c>
      <c r="B198" s="15" t="s">
        <v>57</v>
      </c>
      <c r="C198" s="33" t="s">
        <v>330</v>
      </c>
      <c r="D198" s="33" t="s">
        <v>396</v>
      </c>
      <c r="E198" s="33" t="s">
        <v>342</v>
      </c>
      <c r="F198" s="33" t="s">
        <v>31</v>
      </c>
      <c r="G198" s="33">
        <v>27000</v>
      </c>
      <c r="H198" s="112">
        <v>0.4604166666666667</v>
      </c>
      <c r="I198" s="112">
        <v>0.51041666666666663</v>
      </c>
      <c r="J198" s="116">
        <f t="shared" si="6"/>
        <v>4.9999999999999933E-2</v>
      </c>
      <c r="K198" s="113" t="str">
        <f t="shared" si="7"/>
        <v>No Remarks</v>
      </c>
      <c r="L19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98" s="114"/>
    </row>
    <row r="199" spans="1:13">
      <c r="A199" s="15">
        <v>194</v>
      </c>
      <c r="B199" s="15" t="s">
        <v>57</v>
      </c>
      <c r="C199" s="33" t="s">
        <v>80</v>
      </c>
      <c r="D199" s="33" t="s">
        <v>81</v>
      </c>
      <c r="E199" s="33" t="s">
        <v>82</v>
      </c>
      <c r="F199" s="33" t="s">
        <v>31</v>
      </c>
      <c r="G199" s="33">
        <v>54000</v>
      </c>
      <c r="H199" s="112">
        <v>0.47152777777777777</v>
      </c>
      <c r="I199" s="112">
        <v>0.52222222222222225</v>
      </c>
      <c r="J199" s="116">
        <f t="shared" si="6"/>
        <v>5.0694444444444486E-2</v>
      </c>
      <c r="K199" s="113" t="str">
        <f t="shared" si="7"/>
        <v>Passed</v>
      </c>
      <c r="L19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199" s="114"/>
    </row>
    <row r="200" spans="1:13">
      <c r="A200" s="15">
        <v>195</v>
      </c>
      <c r="B200" s="15" t="s">
        <v>57</v>
      </c>
      <c r="C200" s="33" t="s">
        <v>285</v>
      </c>
      <c r="D200" s="33" t="s">
        <v>396</v>
      </c>
      <c r="E200" s="33" t="s">
        <v>240</v>
      </c>
      <c r="F200" s="33" t="s">
        <v>31</v>
      </c>
      <c r="G200" s="33">
        <v>13500</v>
      </c>
      <c r="H200" s="112">
        <v>0.46319444444444446</v>
      </c>
      <c r="I200" s="112">
        <v>0.52361111111111114</v>
      </c>
      <c r="J200" s="116">
        <f t="shared" si="6"/>
        <v>6.0416666666666674E-2</v>
      </c>
      <c r="K200" s="113" t="str">
        <f t="shared" si="7"/>
        <v>No Remarks</v>
      </c>
      <c r="L20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200" s="114"/>
    </row>
    <row r="201" spans="1:13">
      <c r="A201" s="15">
        <v>196</v>
      </c>
      <c r="B201" s="15" t="s">
        <v>57</v>
      </c>
      <c r="C201" s="33" t="s">
        <v>422</v>
      </c>
      <c r="D201" s="33" t="s">
        <v>393</v>
      </c>
      <c r="E201" s="33" t="s">
        <v>209</v>
      </c>
      <c r="F201" s="33" t="s">
        <v>31</v>
      </c>
      <c r="G201" s="33">
        <v>13500</v>
      </c>
      <c r="H201" s="112">
        <v>0.45833333333333331</v>
      </c>
      <c r="I201" s="112">
        <v>0.50694444444444442</v>
      </c>
      <c r="J201" s="116">
        <f t="shared" si="6"/>
        <v>4.8611111111111105E-2</v>
      </c>
      <c r="K201" s="113" t="str">
        <f t="shared" si="7"/>
        <v>No Remarks</v>
      </c>
      <c r="L20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01" s="114"/>
    </row>
    <row r="202" spans="1:13">
      <c r="A202" s="15">
        <v>197</v>
      </c>
      <c r="B202" s="15" t="s">
        <v>57</v>
      </c>
      <c r="C202" s="33" t="s">
        <v>383</v>
      </c>
      <c r="D202" s="33" t="s">
        <v>70</v>
      </c>
      <c r="E202" s="33" t="s">
        <v>379</v>
      </c>
      <c r="F202" s="33" t="s">
        <v>24</v>
      </c>
      <c r="G202" s="33">
        <v>13500</v>
      </c>
      <c r="H202" s="112">
        <v>0.45</v>
      </c>
      <c r="I202" s="112">
        <v>0.50972222222222219</v>
      </c>
      <c r="J202" s="116">
        <f t="shared" si="6"/>
        <v>5.9722222222222177E-2</v>
      </c>
      <c r="K202" s="113" t="str">
        <f t="shared" si="7"/>
        <v>No Remarks</v>
      </c>
      <c r="L20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202" s="114"/>
    </row>
    <row r="203" spans="1:13">
      <c r="A203" s="15">
        <v>198</v>
      </c>
      <c r="B203" s="15" t="s">
        <v>57</v>
      </c>
      <c r="C203" s="33" t="s">
        <v>487</v>
      </c>
      <c r="D203" s="33" t="s">
        <v>470</v>
      </c>
      <c r="E203" s="33" t="s">
        <v>59</v>
      </c>
      <c r="F203" s="33" t="s">
        <v>24</v>
      </c>
      <c r="G203" s="33">
        <v>13500</v>
      </c>
      <c r="H203" s="112">
        <v>0.45902777777777781</v>
      </c>
      <c r="I203" s="112">
        <v>0.49861111111111112</v>
      </c>
      <c r="J203" s="116">
        <f t="shared" si="6"/>
        <v>3.9583333333333304E-2</v>
      </c>
      <c r="K203" s="113" t="str">
        <f t="shared" si="7"/>
        <v>No Remarks</v>
      </c>
      <c r="L20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203" s="114"/>
    </row>
    <row r="204" spans="1:13">
      <c r="A204" s="15">
        <v>199</v>
      </c>
      <c r="B204" s="15" t="s">
        <v>57</v>
      </c>
      <c r="C204" s="33" t="s">
        <v>250</v>
      </c>
      <c r="D204" s="33" t="s">
        <v>396</v>
      </c>
      <c r="E204" s="33" t="s">
        <v>240</v>
      </c>
      <c r="F204" s="33" t="s">
        <v>31</v>
      </c>
      <c r="G204" s="33">
        <v>13500</v>
      </c>
      <c r="H204" s="112">
        <v>0.45694444444444443</v>
      </c>
      <c r="I204" s="112">
        <v>0.49652777777777773</v>
      </c>
      <c r="J204" s="116">
        <f t="shared" si="6"/>
        <v>3.9583333333333304E-2</v>
      </c>
      <c r="K204" s="113" t="str">
        <f t="shared" si="7"/>
        <v>No Remarks</v>
      </c>
      <c r="L20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x1</v>
      </c>
      <c r="M204" s="114"/>
    </row>
    <row r="205" spans="1:13">
      <c r="A205" s="15">
        <v>200</v>
      </c>
      <c r="B205" s="15" t="s">
        <v>57</v>
      </c>
      <c r="C205" s="33" t="s">
        <v>336</v>
      </c>
      <c r="D205" s="33" t="s">
        <v>396</v>
      </c>
      <c r="E205" s="33" t="s">
        <v>216</v>
      </c>
      <c r="F205" s="33" t="s">
        <v>31</v>
      </c>
      <c r="G205" s="33">
        <v>54000</v>
      </c>
      <c r="H205" s="112">
        <v>0.43888888888888888</v>
      </c>
      <c r="I205" s="112">
        <v>0.49305555555555558</v>
      </c>
      <c r="J205" s="116">
        <f t="shared" si="6"/>
        <v>5.4166666666666696E-2</v>
      </c>
      <c r="K205" s="113" t="str">
        <f t="shared" si="7"/>
        <v>Passed</v>
      </c>
      <c r="L20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205" s="114"/>
    </row>
    <row r="206" spans="1:13">
      <c r="A206" s="15">
        <v>201</v>
      </c>
      <c r="B206" s="15" t="s">
        <v>57</v>
      </c>
      <c r="C206" s="33" t="s">
        <v>166</v>
      </c>
      <c r="D206" s="33" t="s">
        <v>161</v>
      </c>
      <c r="E206" s="33" t="s">
        <v>152</v>
      </c>
      <c r="F206" s="33" t="s">
        <v>31</v>
      </c>
      <c r="G206" s="33">
        <v>13500</v>
      </c>
      <c r="H206" s="112">
        <v>0.44166666666666665</v>
      </c>
      <c r="I206" s="112">
        <v>0.5083333333333333</v>
      </c>
      <c r="J206" s="116">
        <f t="shared" si="6"/>
        <v>6.6666666666666652E-2</v>
      </c>
      <c r="K206" s="113" t="str">
        <f t="shared" si="7"/>
        <v>No Remarks</v>
      </c>
      <c r="L20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06" s="114"/>
    </row>
    <row r="207" spans="1:13">
      <c r="A207" s="15">
        <v>202</v>
      </c>
      <c r="B207" s="15" t="s">
        <v>57</v>
      </c>
      <c r="C207" s="33" t="s">
        <v>237</v>
      </c>
      <c r="D207" s="33" t="s">
        <v>188</v>
      </c>
      <c r="E207" s="33" t="s">
        <v>189</v>
      </c>
      <c r="F207" s="33" t="s">
        <v>31</v>
      </c>
      <c r="G207" s="33">
        <v>54000</v>
      </c>
      <c r="H207" s="112">
        <v>0.41250000000000003</v>
      </c>
      <c r="I207" s="112">
        <v>0.49374999999999997</v>
      </c>
      <c r="J207" s="116">
        <f t="shared" si="6"/>
        <v>8.1249999999999933E-2</v>
      </c>
      <c r="K207" s="113" t="str">
        <f t="shared" si="7"/>
        <v>Failed</v>
      </c>
      <c r="L20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207" s="50" t="s">
        <v>354</v>
      </c>
    </row>
    <row r="208" spans="1:13">
      <c r="A208" s="15">
        <v>203</v>
      </c>
      <c r="B208" s="15" t="s">
        <v>57</v>
      </c>
      <c r="C208" s="33" t="s">
        <v>404</v>
      </c>
      <c r="D208" s="33" t="s">
        <v>58</v>
      </c>
      <c r="E208" s="33" t="s">
        <v>226</v>
      </c>
      <c r="F208" s="33" t="s">
        <v>31</v>
      </c>
      <c r="G208" s="33">
        <v>13500</v>
      </c>
      <c r="H208" s="112">
        <v>0.44097222222222227</v>
      </c>
      <c r="I208" s="112">
        <v>0.4861111111111111</v>
      </c>
      <c r="J208" s="116">
        <f t="shared" si="6"/>
        <v>4.513888888888884E-2</v>
      </c>
      <c r="K208" s="113" t="str">
        <f t="shared" si="7"/>
        <v>No Remarks</v>
      </c>
      <c r="L20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08" s="114"/>
    </row>
    <row r="209" spans="1:13">
      <c r="A209" s="15">
        <v>204</v>
      </c>
      <c r="B209" s="15" t="s">
        <v>57</v>
      </c>
      <c r="C209" s="33" t="s">
        <v>411</v>
      </c>
      <c r="D209" s="33" t="s">
        <v>396</v>
      </c>
      <c r="E209" s="33" t="s">
        <v>342</v>
      </c>
      <c r="F209" s="33" t="s">
        <v>31</v>
      </c>
      <c r="G209" s="33">
        <v>13500</v>
      </c>
      <c r="H209" s="112">
        <v>0.4381944444444445</v>
      </c>
      <c r="I209" s="112">
        <v>0.48749999999999999</v>
      </c>
      <c r="J209" s="116">
        <f t="shared" si="6"/>
        <v>4.9305555555555491E-2</v>
      </c>
      <c r="K209" s="113" t="str">
        <f t="shared" si="7"/>
        <v>No Remarks</v>
      </c>
      <c r="L20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09" s="114"/>
    </row>
    <row r="210" spans="1:13">
      <c r="A210" s="15">
        <v>205</v>
      </c>
      <c r="B210" s="15" t="s">
        <v>57</v>
      </c>
      <c r="C210" s="33" t="s">
        <v>234</v>
      </c>
      <c r="D210" s="33" t="s">
        <v>396</v>
      </c>
      <c r="E210" s="33" t="s">
        <v>238</v>
      </c>
      <c r="F210" s="33" t="s">
        <v>31</v>
      </c>
      <c r="G210" s="33">
        <v>13500</v>
      </c>
      <c r="H210" s="112">
        <v>0.4381944444444445</v>
      </c>
      <c r="I210" s="112">
        <v>0.48958333333333331</v>
      </c>
      <c r="J210" s="116">
        <f t="shared" si="6"/>
        <v>5.1388888888888817E-2</v>
      </c>
      <c r="K210" s="113" t="str">
        <f t="shared" si="7"/>
        <v>No Remarks</v>
      </c>
      <c r="L21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10" s="114"/>
    </row>
    <row r="211" spans="1:13">
      <c r="A211" s="15">
        <v>206</v>
      </c>
      <c r="B211" s="15" t="s">
        <v>57</v>
      </c>
      <c r="C211" s="33" t="s">
        <v>461</v>
      </c>
      <c r="D211" s="33" t="s">
        <v>470</v>
      </c>
      <c r="E211" s="33" t="s">
        <v>79</v>
      </c>
      <c r="F211" s="33" t="s">
        <v>31</v>
      </c>
      <c r="G211" s="33">
        <v>27000</v>
      </c>
      <c r="H211" s="112">
        <v>0.41736111111111113</v>
      </c>
      <c r="I211" s="112">
        <v>0.48333333333333334</v>
      </c>
      <c r="J211" s="116">
        <f t="shared" si="6"/>
        <v>6.597222222222221E-2</v>
      </c>
      <c r="K211" s="113" t="str">
        <f t="shared" si="7"/>
        <v>No Remarks</v>
      </c>
      <c r="L21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11" s="114"/>
    </row>
    <row r="212" spans="1:13">
      <c r="A212" s="15">
        <v>207</v>
      </c>
      <c r="B212" s="15" t="s">
        <v>57</v>
      </c>
      <c r="C212" s="33" t="s">
        <v>417</v>
      </c>
      <c r="D212" s="33" t="s">
        <v>393</v>
      </c>
      <c r="E212" s="33" t="s">
        <v>209</v>
      </c>
      <c r="F212" s="33" t="s">
        <v>31</v>
      </c>
      <c r="G212" s="33">
        <v>18000</v>
      </c>
      <c r="H212" s="112">
        <v>0.4145833333333333</v>
      </c>
      <c r="I212" s="112">
        <v>0.46319444444444446</v>
      </c>
      <c r="J212" s="116">
        <f t="shared" si="6"/>
        <v>4.861111111111116E-2</v>
      </c>
      <c r="K212" s="113" t="str">
        <f t="shared" si="7"/>
        <v>No Remarks</v>
      </c>
      <c r="L21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12" s="114"/>
    </row>
    <row r="213" spans="1:13">
      <c r="A213" s="15">
        <v>208</v>
      </c>
      <c r="B213" s="15" t="s">
        <v>57</v>
      </c>
      <c r="C213" s="33" t="s">
        <v>225</v>
      </c>
      <c r="D213" s="33" t="s">
        <v>58</v>
      </c>
      <c r="E213" s="33" t="s">
        <v>226</v>
      </c>
      <c r="F213" s="33" t="s">
        <v>31</v>
      </c>
      <c r="G213" s="33">
        <v>13500</v>
      </c>
      <c r="H213" s="112">
        <v>0.41388888888888892</v>
      </c>
      <c r="I213" s="112">
        <v>0.4680555555555555</v>
      </c>
      <c r="J213" s="116">
        <f t="shared" si="6"/>
        <v>5.4166666666666585E-2</v>
      </c>
      <c r="K213" s="113" t="str">
        <f t="shared" si="7"/>
        <v>No Remarks</v>
      </c>
      <c r="L21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x3</v>
      </c>
      <c r="M213" s="114"/>
    </row>
    <row r="214" spans="1:13">
      <c r="A214" s="15">
        <v>209</v>
      </c>
      <c r="B214" s="15" t="s">
        <v>57</v>
      </c>
      <c r="C214" s="33" t="s">
        <v>502</v>
      </c>
      <c r="D214" s="33" t="s">
        <v>396</v>
      </c>
      <c r="E214" s="33" t="s">
        <v>342</v>
      </c>
      <c r="F214" s="33" t="s">
        <v>31</v>
      </c>
      <c r="G214" s="33">
        <v>13500</v>
      </c>
      <c r="H214" s="112">
        <v>0.41319444444444442</v>
      </c>
      <c r="I214" s="112">
        <v>0.48055555555555557</v>
      </c>
      <c r="J214" s="116">
        <f t="shared" si="6"/>
        <v>6.7361111111111149E-2</v>
      </c>
      <c r="K214" s="113" t="str">
        <f t="shared" si="7"/>
        <v>No Remarks</v>
      </c>
      <c r="L214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14" s="114"/>
    </row>
    <row r="215" spans="1:13">
      <c r="A215" s="15">
        <v>210</v>
      </c>
      <c r="B215" s="15" t="s">
        <v>57</v>
      </c>
      <c r="C215" s="33" t="s">
        <v>430</v>
      </c>
      <c r="D215" s="33" t="s">
        <v>58</v>
      </c>
      <c r="E215" s="33" t="s">
        <v>226</v>
      </c>
      <c r="F215" s="33" t="s">
        <v>31</v>
      </c>
      <c r="G215" s="33">
        <v>13500</v>
      </c>
      <c r="H215" s="112">
        <v>0.41180555555555554</v>
      </c>
      <c r="I215" s="112">
        <v>0.46180555555555558</v>
      </c>
      <c r="J215" s="116">
        <f t="shared" si="6"/>
        <v>5.0000000000000044E-2</v>
      </c>
      <c r="K215" s="113" t="str">
        <f t="shared" si="7"/>
        <v>No Remarks</v>
      </c>
      <c r="L215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15" s="114"/>
    </row>
    <row r="216" spans="1:13">
      <c r="A216" s="15">
        <v>211</v>
      </c>
      <c r="B216" s="15" t="s">
        <v>57</v>
      </c>
      <c r="C216" s="33" t="s">
        <v>62</v>
      </c>
      <c r="D216" s="33" t="s">
        <v>61</v>
      </c>
      <c r="E216" s="33" t="s">
        <v>390</v>
      </c>
      <c r="F216" s="33" t="s">
        <v>31</v>
      </c>
      <c r="G216" s="33">
        <v>50000</v>
      </c>
      <c r="H216" s="112">
        <v>0.3840277777777778</v>
      </c>
      <c r="I216" s="112">
        <v>0.46458333333333335</v>
      </c>
      <c r="J216" s="116">
        <f t="shared" si="6"/>
        <v>8.0555555555555547E-2</v>
      </c>
      <c r="K216" s="113" t="str">
        <f t="shared" si="7"/>
        <v>Failed</v>
      </c>
      <c r="L216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216" s="50" t="s">
        <v>354</v>
      </c>
    </row>
    <row r="217" spans="1:13">
      <c r="A217" s="15">
        <v>212</v>
      </c>
      <c r="B217" s="15" t="s">
        <v>57</v>
      </c>
      <c r="C217" s="33" t="s">
        <v>178</v>
      </c>
      <c r="D217" s="33" t="s">
        <v>394</v>
      </c>
      <c r="E217" s="33" t="s">
        <v>390</v>
      </c>
      <c r="F217" s="33" t="s">
        <v>31</v>
      </c>
      <c r="G217" s="33">
        <v>31500</v>
      </c>
      <c r="H217" s="112">
        <v>0.38125000000000003</v>
      </c>
      <c r="I217" s="112">
        <v>0.45</v>
      </c>
      <c r="J217" s="116">
        <f t="shared" si="6"/>
        <v>6.8749999999999978E-2</v>
      </c>
      <c r="K217" s="113" t="str">
        <f t="shared" si="7"/>
        <v>No Remarks</v>
      </c>
      <c r="L217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17" s="114"/>
    </row>
    <row r="218" spans="1:13">
      <c r="A218" s="15">
        <v>213</v>
      </c>
      <c r="B218" s="15" t="s">
        <v>57</v>
      </c>
      <c r="C218" s="33" t="s">
        <v>118</v>
      </c>
      <c r="D218" s="33" t="s">
        <v>188</v>
      </c>
      <c r="E218" s="33" t="s">
        <v>189</v>
      </c>
      <c r="F218" s="33" t="s">
        <v>31</v>
      </c>
      <c r="G218" s="33">
        <v>13500</v>
      </c>
      <c r="H218" s="112">
        <v>0.3833333333333333</v>
      </c>
      <c r="I218" s="112">
        <v>0.4465277777777778</v>
      </c>
      <c r="J218" s="116">
        <f t="shared" si="6"/>
        <v>6.3194444444444497E-2</v>
      </c>
      <c r="K218" s="113" t="str">
        <f t="shared" si="7"/>
        <v>No Remarks</v>
      </c>
      <c r="L218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18" s="114"/>
    </row>
    <row r="219" spans="1:13">
      <c r="A219" s="15">
        <v>214</v>
      </c>
      <c r="B219" s="15" t="s">
        <v>57</v>
      </c>
      <c r="C219" s="33" t="s">
        <v>382</v>
      </c>
      <c r="D219" s="33" t="s">
        <v>470</v>
      </c>
      <c r="E219" s="33" t="s">
        <v>226</v>
      </c>
      <c r="F219" s="33" t="s">
        <v>31</v>
      </c>
      <c r="G219" s="33">
        <v>13500</v>
      </c>
      <c r="H219" s="112">
        <v>0.38263888888888892</v>
      </c>
      <c r="I219" s="112">
        <v>0.42499999999999999</v>
      </c>
      <c r="J219" s="116">
        <f t="shared" si="6"/>
        <v>4.2361111111111072E-2</v>
      </c>
      <c r="K219" s="113" t="str">
        <f t="shared" si="7"/>
        <v>No Remarks</v>
      </c>
      <c r="L219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x2</v>
      </c>
      <c r="M219" s="114"/>
    </row>
    <row r="220" spans="1:13">
      <c r="A220" s="15">
        <v>215</v>
      </c>
      <c r="B220" s="15" t="s">
        <v>57</v>
      </c>
      <c r="C220" s="33" t="s">
        <v>499</v>
      </c>
      <c r="D220" s="33" t="s">
        <v>188</v>
      </c>
      <c r="E220" s="33" t="s">
        <v>189</v>
      </c>
      <c r="F220" s="33" t="s">
        <v>31</v>
      </c>
      <c r="G220" s="33">
        <v>54000</v>
      </c>
      <c r="H220" s="112">
        <v>0.36458333333333331</v>
      </c>
      <c r="I220" s="112">
        <v>0.42986111111111108</v>
      </c>
      <c r="J220" s="116">
        <f t="shared" si="6"/>
        <v>6.5277777777777768E-2</v>
      </c>
      <c r="K220" s="113" t="str">
        <f t="shared" si="7"/>
        <v>Passed</v>
      </c>
      <c r="L220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20" s="114"/>
    </row>
    <row r="221" spans="1:13">
      <c r="A221" s="15">
        <v>216</v>
      </c>
      <c r="B221" s="15" t="s">
        <v>57</v>
      </c>
      <c r="C221" s="33" t="s">
        <v>414</v>
      </c>
      <c r="D221" s="33" t="s">
        <v>393</v>
      </c>
      <c r="E221" s="33" t="s">
        <v>451</v>
      </c>
      <c r="F221" s="33" t="s">
        <v>31</v>
      </c>
      <c r="G221" s="33">
        <v>13500</v>
      </c>
      <c r="H221" s="112">
        <v>0.36041666666666666</v>
      </c>
      <c r="I221" s="112">
        <v>0.45</v>
      </c>
      <c r="J221" s="116">
        <f t="shared" si="6"/>
        <v>8.9583333333333348E-2</v>
      </c>
      <c r="K221" s="113" t="str">
        <f t="shared" si="7"/>
        <v>No Remarks</v>
      </c>
      <c r="L221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x6</v>
      </c>
      <c r="M221" s="114"/>
    </row>
    <row r="222" spans="1:13">
      <c r="A222" s="15">
        <v>217</v>
      </c>
      <c r="B222" s="15" t="s">
        <v>57</v>
      </c>
      <c r="C222" s="33" t="s">
        <v>504</v>
      </c>
      <c r="D222" s="33" t="s">
        <v>393</v>
      </c>
      <c r="E222" s="33" t="s">
        <v>451</v>
      </c>
      <c r="F222" s="33" t="s">
        <v>31</v>
      </c>
      <c r="G222" s="33">
        <v>13500</v>
      </c>
      <c r="H222" s="112">
        <v>0.36805555555555558</v>
      </c>
      <c r="I222" s="112">
        <v>0.44513888888888892</v>
      </c>
      <c r="J222" s="116">
        <f t="shared" si="6"/>
        <v>7.7083333333333337E-2</v>
      </c>
      <c r="K222" s="113" t="str">
        <f t="shared" si="7"/>
        <v>No Remarks</v>
      </c>
      <c r="L222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x5</v>
      </c>
      <c r="M222" s="114"/>
    </row>
    <row r="223" spans="1:13">
      <c r="A223" s="15">
        <v>218</v>
      </c>
      <c r="B223" s="15" t="s">
        <v>57</v>
      </c>
      <c r="C223" s="33" t="s">
        <v>286</v>
      </c>
      <c r="D223" s="33" t="s">
        <v>396</v>
      </c>
      <c r="E223" s="33" t="s">
        <v>342</v>
      </c>
      <c r="F223" s="33" t="s">
        <v>31</v>
      </c>
      <c r="G223" s="33">
        <v>13500</v>
      </c>
      <c r="H223" s="112">
        <v>0.35416666666666669</v>
      </c>
      <c r="I223" s="112">
        <v>0.42291666666666666</v>
      </c>
      <c r="J223" s="116">
        <f t="shared" si="6"/>
        <v>6.8749999999999978E-2</v>
      </c>
      <c r="K223" s="113" t="str">
        <f t="shared" si="7"/>
        <v>No Remarks</v>
      </c>
      <c r="L223" s="113" t="str">
        <f>IF(AND(May19_2023258261263262264265266267268[[#This Row],[TAT ]]&gt;=TIMEVALUE("0:00:00"),May19_2023258261263262264265266267268[[#This Row],[TAT ]]&lt;TIMEVALUE("1:00:00")),"x1",IF(AND(May19_2023258261263262264265266267268[[#This Row],[TAT ]]&gt;=TIMEVALUE("1:00:00"),May19_2023258261263262264265266267268[[#This Row],[TAT ]]&lt;TIMEVALUE("1:15:00")),"x2",IF(AND(May19_2023258261263262264265266267268[[#This Row],[TAT ]]&gt;=TIMEVALUE("1:15:00"),May19_2023258261263262264265266267268[[#This Row],[TAT ]]&lt;TIMEVALUE("1:30:00")),"x3",IF(AND(May19_2023258261263262264265266267268[[#This Row],[TAT ]]&gt;=TIMEVALUE("1:30:00"),May19_2023258261263262264265266267268[[#This Row],[TAT ]]&lt;TIMEVALUE("1:45:00")),"x4",IF(AND(May19_2023258261263262264265266267268[[#This Row],[TAT ]]&gt;=TIMEVALUE("1:45:00"),May19_2023258261263262264265266267268[[#This Row],[TAT ]]&lt;TIMEVALUE("2:00:00")),"x5",IF(AND(May19_2023258261263262264265266267268[[#This Row],[TAT ]]&gt;=TIMEVALUE("2:00:00"),May19_2023258261263262264265266267268[[#This Row],[TAT ]]&lt;TIMEVALUE("2:15:00")),"x6",IF(AND(May19_2023258261263262264265266267268[[#This Row],[TAT ]]&gt;=TIMEVALUE("2:15:00"),May19_2023258261263262264265266267268[[#This Row],[TAT ]]&lt;TIMEVALUE("2:30:00")),"x7",IF(AND(May19_2023258261263262264265266267268[[#This Row],[TAT ]]&gt;=TIMEVALUE("2:30:00"),May19_2023258261263262264265266267268[[#This Row],[TAT ]]&lt;TIMEVALUE("2:45:00")),"x8",IF(AND(May19_2023258261263262264265266267268[[#This Row],[TAT ]]&gt;=TIMEVALUE("2:45:00"),May19_2023258261263262264265266267268[[#This Row],[TAT ]]&lt;TIMEVALUE("3:00:00")),"x9","x10")))))))))</f>
        <v>x4</v>
      </c>
      <c r="M223" s="114"/>
    </row>
    <row r="224" spans="1:13" ht="18">
      <c r="A224" s="55"/>
      <c r="B224" s="55"/>
      <c r="C224" s="51"/>
      <c r="D224" s="51"/>
      <c r="E224" s="51"/>
      <c r="F224" s="51"/>
      <c r="G224" s="51"/>
      <c r="H224" s="17"/>
      <c r="I224" s="17"/>
      <c r="J224" s="117">
        <f>SUBTOTAL(101,May19_2023258261263262264265266267268[[TAT ]])</f>
        <v>7.0989424057084624E-2</v>
      </c>
      <c r="K224" s="118"/>
      <c r="L224" s="119"/>
      <c r="M224" s="118"/>
    </row>
  </sheetData>
  <dataValidations count="2">
    <dataValidation allowBlank="1" showInputMessage="1" showErrorMessage="1" promptTitle="Caution" prompt="Try NOT to ALTER this cell" sqref="J6:L223" xr:uid="{C5813963-AC76-4AE2-86E9-83814598897B}"/>
    <dataValidation type="list" allowBlank="1" showInputMessage="1" showErrorMessage="1" sqref="M6:M223" xr:uid="{E9D6C273-B6C0-45CA-96CA-353EB2895AFC}">
      <formula1>$O$62:$AB$62</formula1>
    </dataValidation>
  </dataValidations>
  <pageMargins left="0.7" right="0.7" top="0.75" bottom="0.75" header="0.3" footer="0.3"/>
  <pageSetup scale="20" fitToHeight="3" orientation="landscape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1CD0-2837-49F3-A8E5-796AF0992F0B}">
  <sheetPr>
    <pageSetUpPr fitToPage="1"/>
  </sheetPr>
  <dimension ref="A1:AB188"/>
  <sheetViews>
    <sheetView topLeftCell="J62" zoomScale="89" zoomScaleNormal="89" zoomScaleSheetLayoutView="33" workbookViewId="0">
      <selection activeCell="B6" sqref="B6:E95"/>
    </sheetView>
  </sheetViews>
  <sheetFormatPr defaultColWidth="8.86328125" defaultRowHeight="14.25"/>
  <cols>
    <col min="1" max="1" width="9.1328125" style="4" customWidth="1"/>
    <col min="2" max="2" width="18" style="4" customWidth="1"/>
    <col min="3" max="3" width="41.1328125" style="4" customWidth="1"/>
    <col min="4" max="4" width="43.46484375" style="4" customWidth="1"/>
    <col min="5" max="5" width="37.53125" style="4" customWidth="1"/>
    <col min="6" max="6" width="19.53125" style="4" customWidth="1"/>
    <col min="7" max="7" width="22.1328125" style="4" customWidth="1"/>
    <col min="8" max="8" width="17.86328125" style="4" customWidth="1"/>
    <col min="9" max="9" width="18.1328125" style="4" customWidth="1"/>
    <col min="10" max="10" width="23.53125" style="4" customWidth="1"/>
    <col min="11" max="11" width="15.86328125" style="4" customWidth="1"/>
    <col min="12" max="13" width="12.1328125" style="4" customWidth="1"/>
    <col min="14" max="14" width="4.1328125" style="4" customWidth="1"/>
    <col min="15" max="15" width="19.1328125" style="4" customWidth="1"/>
    <col min="16" max="16" width="19.86328125" style="4" customWidth="1"/>
    <col min="17" max="17" width="20.1328125" style="4" customWidth="1"/>
    <col min="18" max="18" width="19.33203125" style="4" customWidth="1"/>
    <col min="19" max="19" width="17.53125" style="4" customWidth="1"/>
    <col min="20" max="20" width="21.1328125" style="4" customWidth="1"/>
    <col min="21" max="21" width="22" style="4" customWidth="1"/>
    <col min="22" max="22" width="29.46484375" style="4" customWidth="1"/>
    <col min="23" max="23" width="20.86328125" style="4" customWidth="1"/>
    <col min="24" max="24" width="32.53125" style="4" customWidth="1"/>
    <col min="25" max="25" width="16.53125" style="4" customWidth="1"/>
    <col min="26" max="26" width="16.86328125" style="4" customWidth="1"/>
    <col min="27" max="27" width="21.1328125" style="4" customWidth="1"/>
    <col min="28" max="28" width="21.86328125" style="4" customWidth="1"/>
    <col min="29" max="16384" width="8.86328125" style="4"/>
  </cols>
  <sheetData>
    <row r="1" spans="1:20" ht="18">
      <c r="B1" s="5"/>
      <c r="C1" s="6" t="s">
        <v>0</v>
      </c>
      <c r="D1" s="6"/>
      <c r="E1" s="6"/>
      <c r="F1" s="5"/>
      <c r="G1" s="5"/>
      <c r="H1" s="7"/>
      <c r="I1" s="18"/>
      <c r="J1" s="19" t="s">
        <v>1</v>
      </c>
      <c r="K1" s="20"/>
      <c r="L1" s="18"/>
      <c r="M1" s="18"/>
      <c r="N1" s="18"/>
      <c r="O1" s="18"/>
    </row>
    <row r="2" spans="1:20" ht="18">
      <c r="B2" s="6" t="s">
        <v>2</v>
      </c>
      <c r="C2" s="8">
        <v>45049</v>
      </c>
      <c r="D2" s="5"/>
      <c r="E2" s="5"/>
      <c r="F2" s="6" t="s">
        <v>3</v>
      </c>
      <c r="G2" s="5" t="s">
        <v>4</v>
      </c>
      <c r="H2" s="5"/>
      <c r="I2" s="21"/>
      <c r="J2" s="22"/>
      <c r="K2" s="23"/>
      <c r="L2" s="23"/>
      <c r="M2" s="23"/>
      <c r="Q2" s="39"/>
    </row>
    <row r="3" spans="1:20" ht="18">
      <c r="B3" s="5"/>
      <c r="C3" s="9" t="s">
        <v>5</v>
      </c>
      <c r="D3" s="10">
        <v>7.2916666666666699E-2</v>
      </c>
      <c r="E3" s="11"/>
      <c r="F3" s="5"/>
      <c r="G3" s="9" t="s">
        <v>6</v>
      </c>
      <c r="H3" s="12">
        <v>45000</v>
      </c>
      <c r="K3" s="24"/>
      <c r="L3" s="24"/>
      <c r="M3" s="24"/>
      <c r="N3" s="24"/>
      <c r="O3" s="24"/>
    </row>
    <row r="4" spans="1:20" ht="18">
      <c r="B4" s="5"/>
      <c r="C4" s="5"/>
      <c r="D4" s="5"/>
      <c r="E4" s="5"/>
      <c r="F4" s="5"/>
      <c r="G4" s="5"/>
      <c r="H4" s="5"/>
      <c r="O4" s="25" t="s">
        <v>350</v>
      </c>
    </row>
    <row r="5" spans="1:20" ht="18">
      <c r="A5" s="13" t="s">
        <v>7</v>
      </c>
      <c r="B5" s="14" t="s">
        <v>8</v>
      </c>
      <c r="C5" s="14" t="s">
        <v>9</v>
      </c>
      <c r="D5" s="14" t="s">
        <v>10</v>
      </c>
      <c r="E5" s="14" t="s">
        <v>11</v>
      </c>
      <c r="F5" s="14" t="s">
        <v>12</v>
      </c>
      <c r="G5" s="14" t="s">
        <v>13</v>
      </c>
      <c r="H5" s="14" t="s">
        <v>14</v>
      </c>
      <c r="I5" s="26" t="s">
        <v>15</v>
      </c>
      <c r="J5" s="26" t="s">
        <v>16</v>
      </c>
      <c r="K5" s="26" t="s">
        <v>17</v>
      </c>
      <c r="L5" s="26" t="s">
        <v>300</v>
      </c>
      <c r="M5" s="27" t="s">
        <v>351</v>
      </c>
      <c r="N5" s="28"/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</row>
    <row r="6" spans="1:20">
      <c r="A6" s="15">
        <v>1</v>
      </c>
      <c r="B6" s="15" t="s">
        <v>23</v>
      </c>
      <c r="C6" s="33" t="s">
        <v>105</v>
      </c>
      <c r="D6" s="33" t="s">
        <v>463</v>
      </c>
      <c r="E6" s="33" t="s">
        <v>101</v>
      </c>
      <c r="F6" s="33" t="s">
        <v>24</v>
      </c>
      <c r="G6" s="33">
        <v>54000</v>
      </c>
      <c r="H6" s="16">
        <v>0.40416666666666662</v>
      </c>
      <c r="I6" s="54">
        <v>0.46180555555555558</v>
      </c>
      <c r="J6" s="30">
        <f t="shared" ref="J6:J15" si="0">I6-H6</f>
        <v>5.7638888888888962E-2</v>
      </c>
      <c r="K6" s="30" t="str">
        <f t="shared" ref="K6:K15" si="1">IF(G6&lt;$H$3,"No Remarks",IF(AND(G6&gt;=$H$3,J6&lt;=$D$3),"Passed","Failed"))</f>
        <v>Passed</v>
      </c>
      <c r="L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6" s="31"/>
      <c r="N6" s="28" t="str">
        <f t="array" ref="N6">IF(OR(April28_2023244[[#This Row],[BRV '#]]='[1]BOST-KSI-1655369187'!$C$2:$C$40),"OKKo","")</f>
        <v/>
      </c>
      <c r="O6" s="32" t="s">
        <v>25</v>
      </c>
      <c r="P6" s="33">
        <f>COUNTIF(April28_2023244[REMARKS],O6)</f>
        <v>23</v>
      </c>
      <c r="Q6" s="40">
        <f>AVERAGEIF(April28_2023244[REMARKS],O6,April28_2023244[[TAT ]])</f>
        <v>6.0778985507246357E-2</v>
      </c>
      <c r="R6" s="40">
        <f>_xlfn.MINIFS(April28_2023244[[TAT ]],April28_2023244[CAPACITY],"&gt;=45000",April28_2023244[[TAT ]],"&lt;=1:45")</f>
        <v>3.8888888888888862E-2</v>
      </c>
      <c r="S6" s="40">
        <f>_xlfn.MAXIFS(April28_2023244[[TAT ]],April28_2023244[CAPACITY],"&gt;=1000",April28_2023244[[TAT ]],"&gt;0:45")</f>
        <v>0.11249999999999999</v>
      </c>
      <c r="T6" s="40">
        <f>S6-R6</f>
        <v>7.3611111111111127E-2</v>
      </c>
    </row>
    <row r="7" spans="1:20">
      <c r="A7" s="15">
        <v>2</v>
      </c>
      <c r="B7" s="15" t="s">
        <v>23</v>
      </c>
      <c r="C7" s="33" t="s">
        <v>44</v>
      </c>
      <c r="D7" s="33" t="s">
        <v>463</v>
      </c>
      <c r="E7" s="33" t="s">
        <v>42</v>
      </c>
      <c r="F7" s="33" t="s">
        <v>24</v>
      </c>
      <c r="G7" s="33">
        <v>54000</v>
      </c>
      <c r="H7" s="16">
        <v>0.4055555555555555</v>
      </c>
      <c r="I7" s="16">
        <v>0.46527777777777773</v>
      </c>
      <c r="J7" s="30">
        <f t="shared" si="0"/>
        <v>5.9722222222222232E-2</v>
      </c>
      <c r="K7" s="30" t="str">
        <f t="shared" si="1"/>
        <v>Passed</v>
      </c>
      <c r="L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7" s="31"/>
      <c r="N7" s="28"/>
      <c r="O7" s="34" t="s">
        <v>27</v>
      </c>
      <c r="P7" s="33">
        <f>COUNTIF(April28_2023244[REMARKS],O7)</f>
        <v>17</v>
      </c>
      <c r="Q7" s="40">
        <f>IFERROR(AVERAGEIF(April28_2023244[REMARKS],O7,April28_2023244[[TAT ]]),"None")</f>
        <v>8.4109477124183013E-2</v>
      </c>
      <c r="R7" s="33"/>
      <c r="S7" s="33"/>
      <c r="T7" s="33"/>
    </row>
    <row r="8" spans="1:20">
      <c r="A8" s="15">
        <v>3</v>
      </c>
      <c r="B8" s="15" t="s">
        <v>23</v>
      </c>
      <c r="C8" s="33" t="s">
        <v>473</v>
      </c>
      <c r="D8" s="33" t="s">
        <v>463</v>
      </c>
      <c r="E8" s="33" t="s">
        <v>143</v>
      </c>
      <c r="F8" s="33" t="s">
        <v>24</v>
      </c>
      <c r="G8" s="33">
        <v>54000</v>
      </c>
      <c r="H8" s="16">
        <v>0.40486111111111112</v>
      </c>
      <c r="I8" s="16">
        <v>0.46875</v>
      </c>
      <c r="J8" s="30">
        <f t="shared" si="0"/>
        <v>6.3888888888888884E-2</v>
      </c>
      <c r="K8" s="30" t="str">
        <f t="shared" si="1"/>
        <v>Passed</v>
      </c>
      <c r="L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8" s="31"/>
      <c r="N8" s="28"/>
      <c r="O8" s="33" t="s">
        <v>229</v>
      </c>
      <c r="P8" s="33">
        <f>COUNTIF(April28_2023244[REMARKS],O8)</f>
        <v>50</v>
      </c>
      <c r="Q8" s="33"/>
      <c r="R8" s="40"/>
      <c r="S8" s="33"/>
      <c r="T8" s="33"/>
    </row>
    <row r="9" spans="1:20">
      <c r="A9" s="15">
        <v>4</v>
      </c>
      <c r="B9" s="15" t="s">
        <v>57</v>
      </c>
      <c r="C9" s="33" t="s">
        <v>445</v>
      </c>
      <c r="D9" s="33" t="s">
        <v>396</v>
      </c>
      <c r="E9" s="33" t="s">
        <v>63</v>
      </c>
      <c r="F9" s="33" t="s">
        <v>31</v>
      </c>
      <c r="G9" s="33">
        <v>45000</v>
      </c>
      <c r="H9" s="16">
        <v>0.71388888888888891</v>
      </c>
      <c r="I9" s="16">
        <v>0.75277777777777777</v>
      </c>
      <c r="J9" s="30">
        <f t="shared" si="0"/>
        <v>3.8888888888888862E-2</v>
      </c>
      <c r="K9" s="30" t="str">
        <f t="shared" si="1"/>
        <v>Passed</v>
      </c>
      <c r="L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x1</v>
      </c>
      <c r="M9" s="31"/>
      <c r="N9" s="28"/>
      <c r="O9" s="35" t="s">
        <v>28</v>
      </c>
      <c r="P9" s="35">
        <f>SUM(P6:P8)</f>
        <v>90</v>
      </c>
      <c r="Q9" s="41">
        <f>AVERAGE(Q6:Q7)</f>
        <v>7.2444231315714688E-2</v>
      </c>
      <c r="R9" s="33"/>
      <c r="S9" s="33"/>
      <c r="T9" s="33"/>
    </row>
    <row r="10" spans="1:20">
      <c r="A10" s="15">
        <v>5</v>
      </c>
      <c r="B10" s="15" t="s">
        <v>57</v>
      </c>
      <c r="C10" s="33" t="s">
        <v>488</v>
      </c>
      <c r="D10" s="33" t="s">
        <v>470</v>
      </c>
      <c r="E10" s="33" t="s">
        <v>454</v>
      </c>
      <c r="F10" s="33" t="s">
        <v>24</v>
      </c>
      <c r="G10" s="33">
        <v>13500</v>
      </c>
      <c r="H10" s="16">
        <v>0.70833333333333337</v>
      </c>
      <c r="I10" s="16">
        <v>0.73611111111111116</v>
      </c>
      <c r="J10" s="30">
        <f t="shared" si="0"/>
        <v>2.777777777777779E-2</v>
      </c>
      <c r="K10" s="30" t="str">
        <f t="shared" si="1"/>
        <v>No Remarks</v>
      </c>
      <c r="L1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x1</v>
      </c>
      <c r="M10" s="31"/>
    </row>
    <row r="11" spans="1:20">
      <c r="A11" s="15">
        <v>6</v>
      </c>
      <c r="B11" s="15" t="s">
        <v>57</v>
      </c>
      <c r="C11" s="33" t="s">
        <v>265</v>
      </c>
      <c r="D11" s="33" t="s">
        <v>346</v>
      </c>
      <c r="E11" s="33" t="s">
        <v>71</v>
      </c>
      <c r="F11" s="33" t="s">
        <v>31</v>
      </c>
      <c r="G11" s="33">
        <v>36000</v>
      </c>
      <c r="H11" s="16">
        <v>0.68402777777777779</v>
      </c>
      <c r="I11" s="16">
        <v>0.73263888888888884</v>
      </c>
      <c r="J11" s="30">
        <f t="shared" si="0"/>
        <v>4.8611111111111049E-2</v>
      </c>
      <c r="K11" s="30" t="str">
        <f t="shared" si="1"/>
        <v>No Remarks</v>
      </c>
      <c r="L1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11" s="31"/>
    </row>
    <row r="12" spans="1:20">
      <c r="A12" s="15">
        <v>7</v>
      </c>
      <c r="B12" s="15" t="s">
        <v>57</v>
      </c>
      <c r="C12" s="33" t="s">
        <v>489</v>
      </c>
      <c r="D12" s="33" t="s">
        <v>470</v>
      </c>
      <c r="E12" s="33" t="s">
        <v>425</v>
      </c>
      <c r="F12" s="33" t="s">
        <v>24</v>
      </c>
      <c r="G12" s="33">
        <v>54000</v>
      </c>
      <c r="H12" s="16">
        <v>0.67152777777777783</v>
      </c>
      <c r="I12" s="16">
        <v>0.71180555555555547</v>
      </c>
      <c r="J12" s="30">
        <f t="shared" si="0"/>
        <v>4.0277777777777635E-2</v>
      </c>
      <c r="K12" s="30" t="str">
        <f t="shared" si="1"/>
        <v>Passed</v>
      </c>
      <c r="L1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x1</v>
      </c>
      <c r="M12" s="31"/>
    </row>
    <row r="13" spans="1:20">
      <c r="A13" s="15">
        <v>8</v>
      </c>
      <c r="B13" s="15" t="s">
        <v>57</v>
      </c>
      <c r="C13" s="33" t="s">
        <v>408</v>
      </c>
      <c r="D13" s="33" t="s">
        <v>130</v>
      </c>
      <c r="E13" s="33" t="s">
        <v>148</v>
      </c>
      <c r="F13" s="33" t="s">
        <v>31</v>
      </c>
      <c r="G13" s="33">
        <v>36000</v>
      </c>
      <c r="H13" s="16">
        <v>0.67499999999999993</v>
      </c>
      <c r="I13" s="16">
        <v>0.71875</v>
      </c>
      <c r="J13" s="30">
        <f t="shared" si="0"/>
        <v>4.3750000000000067E-2</v>
      </c>
      <c r="K13" s="30" t="str">
        <f t="shared" si="1"/>
        <v>No Remarks</v>
      </c>
      <c r="L1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13" s="31"/>
    </row>
    <row r="14" spans="1:20" s="1" customFormat="1">
      <c r="A14" s="15">
        <v>9</v>
      </c>
      <c r="B14" s="15" t="s">
        <v>57</v>
      </c>
      <c r="C14" s="33" t="s">
        <v>442</v>
      </c>
      <c r="D14" s="33" t="s">
        <v>130</v>
      </c>
      <c r="E14" s="33" t="s">
        <v>148</v>
      </c>
      <c r="F14" s="33" t="s">
        <v>31</v>
      </c>
      <c r="G14" s="33">
        <v>45000</v>
      </c>
      <c r="H14" s="16">
        <v>0.64722222222222225</v>
      </c>
      <c r="I14" s="16">
        <v>0.72222222222222221</v>
      </c>
      <c r="J14" s="30">
        <f t="shared" si="0"/>
        <v>7.4999999999999956E-2</v>
      </c>
      <c r="K14" s="30" t="str">
        <f t="shared" si="1"/>
        <v>Failed</v>
      </c>
      <c r="L1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14" s="31" t="s">
        <v>354</v>
      </c>
    </row>
    <row r="15" spans="1:20">
      <c r="A15" s="15">
        <v>10</v>
      </c>
      <c r="B15" s="15" t="s">
        <v>57</v>
      </c>
      <c r="C15" s="33" t="s">
        <v>447</v>
      </c>
      <c r="D15" s="33" t="s">
        <v>393</v>
      </c>
      <c r="E15" s="33" t="s">
        <v>416</v>
      </c>
      <c r="F15" s="33" t="s">
        <v>24</v>
      </c>
      <c r="G15" s="33">
        <v>13500</v>
      </c>
      <c r="H15" s="16">
        <v>0.67083333333333339</v>
      </c>
      <c r="I15" s="16">
        <v>0.70833333333333337</v>
      </c>
      <c r="J15" s="30">
        <f t="shared" si="0"/>
        <v>3.7499999999999978E-2</v>
      </c>
      <c r="K15" s="30" t="str">
        <f t="shared" si="1"/>
        <v>No Remarks</v>
      </c>
      <c r="L1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x1</v>
      </c>
      <c r="M15" s="31"/>
    </row>
    <row r="16" spans="1:20">
      <c r="A16" s="15">
        <v>11</v>
      </c>
      <c r="B16" s="15" t="s">
        <v>57</v>
      </c>
      <c r="C16" s="33" t="s">
        <v>490</v>
      </c>
      <c r="D16" s="33" t="s">
        <v>396</v>
      </c>
      <c r="E16" s="33" t="s">
        <v>454</v>
      </c>
      <c r="F16" s="33" t="s">
        <v>31</v>
      </c>
      <c r="G16" s="33">
        <v>54000</v>
      </c>
      <c r="H16" s="63">
        <v>0.63611111111111118</v>
      </c>
      <c r="I16" s="63">
        <v>0.69513888888888886</v>
      </c>
      <c r="J16" s="30">
        <f t="shared" ref="J16:J79" si="2">I16-H16</f>
        <v>5.9027777777777679E-2</v>
      </c>
      <c r="K16" s="30" t="str">
        <f t="shared" ref="K16:K79" si="3">IF(G16&lt;$H$3,"No Remarks",IF(AND(G16&gt;=$H$3,J16&lt;=$D$3),"Passed","Failed"))</f>
        <v>Passed</v>
      </c>
      <c r="L1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16" s="62"/>
    </row>
    <row r="17" spans="1:13">
      <c r="A17" s="15">
        <v>12</v>
      </c>
      <c r="B17" s="15" t="s">
        <v>57</v>
      </c>
      <c r="C17" s="33" t="s">
        <v>446</v>
      </c>
      <c r="D17" s="33" t="s">
        <v>188</v>
      </c>
      <c r="E17" s="33" t="s">
        <v>189</v>
      </c>
      <c r="F17" s="33" t="s">
        <v>31</v>
      </c>
      <c r="G17" s="33">
        <v>54000</v>
      </c>
      <c r="H17" s="63">
        <v>0.62361111111111112</v>
      </c>
      <c r="I17" s="63">
        <v>0.70138888888888884</v>
      </c>
      <c r="J17" s="30">
        <f t="shared" si="2"/>
        <v>7.7777777777777724E-2</v>
      </c>
      <c r="K17" s="30" t="str">
        <f t="shared" si="3"/>
        <v>Failed</v>
      </c>
      <c r="L1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17" s="31" t="s">
        <v>354</v>
      </c>
    </row>
    <row r="18" spans="1:13">
      <c r="A18" s="15">
        <v>13</v>
      </c>
      <c r="B18" s="15" t="s">
        <v>57</v>
      </c>
      <c r="C18" s="33" t="s">
        <v>153</v>
      </c>
      <c r="D18" s="33" t="s">
        <v>130</v>
      </c>
      <c r="E18" s="33" t="s">
        <v>148</v>
      </c>
      <c r="F18" s="33" t="s">
        <v>31</v>
      </c>
      <c r="G18" s="33">
        <v>31500</v>
      </c>
      <c r="H18" s="63">
        <v>0.64097222222222217</v>
      </c>
      <c r="I18" s="63">
        <v>0.69444444444444453</v>
      </c>
      <c r="J18" s="30">
        <f t="shared" si="2"/>
        <v>5.3472222222222365E-2</v>
      </c>
      <c r="K18" s="30" t="str">
        <f t="shared" si="3"/>
        <v>No Remarks</v>
      </c>
      <c r="L1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18" s="62"/>
    </row>
    <row r="19" spans="1:13">
      <c r="A19" s="15">
        <v>14</v>
      </c>
      <c r="B19" s="15" t="s">
        <v>57</v>
      </c>
      <c r="C19" s="33" t="s">
        <v>236</v>
      </c>
      <c r="D19" s="33" t="s">
        <v>452</v>
      </c>
      <c r="E19" s="33" t="s">
        <v>409</v>
      </c>
      <c r="F19" s="33" t="s">
        <v>31</v>
      </c>
      <c r="G19" s="33">
        <v>54000</v>
      </c>
      <c r="H19" s="63">
        <v>0.625</v>
      </c>
      <c r="I19" s="63">
        <v>0.69097222222222221</v>
      </c>
      <c r="J19" s="30">
        <f t="shared" si="2"/>
        <v>6.597222222222221E-2</v>
      </c>
      <c r="K19" s="30" t="str">
        <f t="shared" si="3"/>
        <v>Passed</v>
      </c>
      <c r="L1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19" s="62"/>
    </row>
    <row r="20" spans="1:13">
      <c r="A20" s="15">
        <v>15</v>
      </c>
      <c r="B20" s="15" t="s">
        <v>57</v>
      </c>
      <c r="C20" s="33" t="s">
        <v>151</v>
      </c>
      <c r="D20" s="33" t="s">
        <v>130</v>
      </c>
      <c r="E20" s="33" t="s">
        <v>148</v>
      </c>
      <c r="F20" s="33" t="s">
        <v>24</v>
      </c>
      <c r="G20" s="33">
        <v>54000</v>
      </c>
      <c r="H20" s="63">
        <v>0.62986111111111109</v>
      </c>
      <c r="I20" s="63">
        <v>0.69444444444444453</v>
      </c>
      <c r="J20" s="30">
        <f t="shared" si="2"/>
        <v>6.4583333333333437E-2</v>
      </c>
      <c r="K20" s="30" t="str">
        <f t="shared" si="3"/>
        <v>Passed</v>
      </c>
      <c r="L2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20" s="62"/>
    </row>
    <row r="21" spans="1:13">
      <c r="A21" s="15">
        <v>16</v>
      </c>
      <c r="B21" s="15" t="s">
        <v>57</v>
      </c>
      <c r="C21" s="33" t="s">
        <v>221</v>
      </c>
      <c r="D21" s="33" t="s">
        <v>452</v>
      </c>
      <c r="E21" s="33" t="s">
        <v>222</v>
      </c>
      <c r="F21" s="33" t="s">
        <v>31</v>
      </c>
      <c r="G21" s="33">
        <v>54000</v>
      </c>
      <c r="H21" s="63">
        <v>0.62152777777777779</v>
      </c>
      <c r="I21" s="63">
        <v>0.68541666666666667</v>
      </c>
      <c r="J21" s="30">
        <f t="shared" si="2"/>
        <v>6.3888888888888884E-2</v>
      </c>
      <c r="K21" s="30" t="str">
        <f t="shared" si="3"/>
        <v>Passed</v>
      </c>
      <c r="L2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21" s="62"/>
    </row>
    <row r="22" spans="1:13">
      <c r="A22" s="15">
        <v>17</v>
      </c>
      <c r="B22" s="15" t="s">
        <v>57</v>
      </c>
      <c r="C22" s="33" t="s">
        <v>248</v>
      </c>
      <c r="D22" s="33" t="s">
        <v>130</v>
      </c>
      <c r="E22" s="33" t="s">
        <v>148</v>
      </c>
      <c r="F22" s="33" t="s">
        <v>24</v>
      </c>
      <c r="G22" s="33">
        <v>31500</v>
      </c>
      <c r="H22" s="63">
        <v>0.66388888888888886</v>
      </c>
      <c r="I22" s="63">
        <v>0.68055555555555547</v>
      </c>
      <c r="J22" s="30">
        <f t="shared" si="2"/>
        <v>1.6666666666666607E-2</v>
      </c>
      <c r="K22" s="30" t="str">
        <f t="shared" si="3"/>
        <v>No Remarks</v>
      </c>
      <c r="L2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x1</v>
      </c>
      <c r="M22" s="62"/>
    </row>
    <row r="23" spans="1:13">
      <c r="A23" s="15">
        <v>18</v>
      </c>
      <c r="B23" s="15" t="s">
        <v>57</v>
      </c>
      <c r="C23" s="33" t="s">
        <v>477</v>
      </c>
      <c r="D23" s="33" t="s">
        <v>61</v>
      </c>
      <c r="E23" s="33" t="s">
        <v>390</v>
      </c>
      <c r="F23" s="33" t="s">
        <v>31</v>
      </c>
      <c r="G23" s="33">
        <v>27000</v>
      </c>
      <c r="H23" s="63">
        <v>0.625</v>
      </c>
      <c r="I23" s="63">
        <v>0.6791666666666667</v>
      </c>
      <c r="J23" s="30">
        <f t="shared" si="2"/>
        <v>5.4166666666666696E-2</v>
      </c>
      <c r="K23" s="30" t="str">
        <f t="shared" si="3"/>
        <v>No Remarks</v>
      </c>
      <c r="L2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23" s="62"/>
    </row>
    <row r="24" spans="1:13">
      <c r="A24" s="15">
        <v>19</v>
      </c>
      <c r="B24" s="15" t="s">
        <v>57</v>
      </c>
      <c r="C24" s="33" t="s">
        <v>242</v>
      </c>
      <c r="D24" s="33" t="s">
        <v>470</v>
      </c>
      <c r="E24" s="33" t="s">
        <v>210</v>
      </c>
      <c r="F24" s="33" t="s">
        <v>24</v>
      </c>
      <c r="G24" s="33">
        <v>54000</v>
      </c>
      <c r="H24" s="63">
        <v>0.59236111111111112</v>
      </c>
      <c r="I24" s="63">
        <v>0.66527777777777775</v>
      </c>
      <c r="J24" s="30">
        <f t="shared" si="2"/>
        <v>7.291666666666663E-2</v>
      </c>
      <c r="K24" s="30" t="str">
        <f t="shared" si="3"/>
        <v>Passed</v>
      </c>
      <c r="L2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24" s="62"/>
    </row>
    <row r="25" spans="1:13">
      <c r="A25" s="15">
        <v>20</v>
      </c>
      <c r="B25" s="15" t="s">
        <v>57</v>
      </c>
      <c r="C25" s="33" t="s">
        <v>443</v>
      </c>
      <c r="D25" s="33" t="s">
        <v>130</v>
      </c>
      <c r="E25" s="33" t="s">
        <v>148</v>
      </c>
      <c r="F25" s="33" t="s">
        <v>31</v>
      </c>
      <c r="G25" s="33">
        <v>27000</v>
      </c>
      <c r="H25" s="63">
        <v>0.59305555555555556</v>
      </c>
      <c r="I25" s="63">
        <v>0.67361111111111116</v>
      </c>
      <c r="J25" s="30">
        <f t="shared" si="2"/>
        <v>8.0555555555555602E-2</v>
      </c>
      <c r="K25" s="30" t="str">
        <f t="shared" si="3"/>
        <v>No Remarks</v>
      </c>
      <c r="L2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25" s="62"/>
    </row>
    <row r="26" spans="1:13">
      <c r="A26" s="15">
        <v>21</v>
      </c>
      <c r="B26" s="15" t="s">
        <v>57</v>
      </c>
      <c r="C26" s="33" t="s">
        <v>155</v>
      </c>
      <c r="D26" s="33" t="s">
        <v>130</v>
      </c>
      <c r="E26" s="33" t="s">
        <v>148</v>
      </c>
      <c r="F26" s="33" t="s">
        <v>24</v>
      </c>
      <c r="G26" s="33">
        <v>45000</v>
      </c>
      <c r="H26" s="63">
        <v>0.60069444444444442</v>
      </c>
      <c r="I26" s="63">
        <v>0.68472222222222223</v>
      </c>
      <c r="J26" s="30">
        <f t="shared" si="2"/>
        <v>8.4027777777777812E-2</v>
      </c>
      <c r="K26" s="30" t="str">
        <f t="shared" si="3"/>
        <v>Failed</v>
      </c>
      <c r="L2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x6</v>
      </c>
      <c r="M26" s="62" t="s">
        <v>358</v>
      </c>
    </row>
    <row r="27" spans="1:13">
      <c r="A27" s="15">
        <v>22</v>
      </c>
      <c r="B27" s="15" t="s">
        <v>57</v>
      </c>
      <c r="C27" s="33" t="s">
        <v>459</v>
      </c>
      <c r="D27" s="33" t="s">
        <v>346</v>
      </c>
      <c r="E27" s="33" t="s">
        <v>71</v>
      </c>
      <c r="F27" s="33" t="s">
        <v>31</v>
      </c>
      <c r="G27" s="33">
        <v>54000</v>
      </c>
      <c r="H27" s="63">
        <v>0.56180555555555556</v>
      </c>
      <c r="I27" s="63">
        <v>0.65763888888888888</v>
      </c>
      <c r="J27" s="30">
        <f t="shared" si="2"/>
        <v>9.5833333333333326E-2</v>
      </c>
      <c r="K27" s="30" t="str">
        <f t="shared" si="3"/>
        <v>Failed</v>
      </c>
      <c r="L2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x7</v>
      </c>
      <c r="M27" s="31" t="s">
        <v>354</v>
      </c>
    </row>
    <row r="28" spans="1:13">
      <c r="A28" s="15">
        <v>23</v>
      </c>
      <c r="B28" s="15" t="s">
        <v>57</v>
      </c>
      <c r="C28" s="33" t="s">
        <v>427</v>
      </c>
      <c r="D28" s="33" t="s">
        <v>130</v>
      </c>
      <c r="E28" s="33" t="s">
        <v>148</v>
      </c>
      <c r="F28" s="33" t="s">
        <v>24</v>
      </c>
      <c r="G28" s="33">
        <v>27000</v>
      </c>
      <c r="H28" s="63">
        <v>0.6</v>
      </c>
      <c r="I28" s="63">
        <v>0.65833333333333333</v>
      </c>
      <c r="J28" s="30">
        <f t="shared" si="2"/>
        <v>5.8333333333333348E-2</v>
      </c>
      <c r="K28" s="30" t="str">
        <f t="shared" si="3"/>
        <v>No Remarks</v>
      </c>
      <c r="L2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28" s="62"/>
    </row>
    <row r="29" spans="1:13">
      <c r="A29" s="15">
        <v>24</v>
      </c>
      <c r="B29" s="15" t="s">
        <v>57</v>
      </c>
      <c r="C29" s="33" t="s">
        <v>424</v>
      </c>
      <c r="D29" s="33" t="s">
        <v>130</v>
      </c>
      <c r="E29" s="33" t="s">
        <v>148</v>
      </c>
      <c r="F29" s="33" t="s">
        <v>24</v>
      </c>
      <c r="G29" s="33">
        <v>36000</v>
      </c>
      <c r="H29" s="63">
        <v>0.60902777777777783</v>
      </c>
      <c r="I29" s="63">
        <v>0.67013888888888884</v>
      </c>
      <c r="J29" s="30">
        <f t="shared" si="2"/>
        <v>6.1111111111111005E-2</v>
      </c>
      <c r="K29" s="30" t="str">
        <f t="shared" si="3"/>
        <v>No Remarks</v>
      </c>
      <c r="L2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29" s="62"/>
    </row>
    <row r="30" spans="1:13">
      <c r="A30" s="15">
        <v>25</v>
      </c>
      <c r="B30" s="15" t="s">
        <v>57</v>
      </c>
      <c r="C30" s="33" t="s">
        <v>261</v>
      </c>
      <c r="D30" s="33" t="s">
        <v>130</v>
      </c>
      <c r="E30" s="33" t="s">
        <v>148</v>
      </c>
      <c r="F30" s="33" t="s">
        <v>24</v>
      </c>
      <c r="G30" s="33">
        <v>45000</v>
      </c>
      <c r="H30" s="63">
        <v>0.59027777777777779</v>
      </c>
      <c r="I30" s="63">
        <v>0.6694444444444444</v>
      </c>
      <c r="J30" s="30">
        <f t="shared" si="2"/>
        <v>7.9166666666666607E-2</v>
      </c>
      <c r="K30" s="30" t="str">
        <f t="shared" si="3"/>
        <v>Failed</v>
      </c>
      <c r="L3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30" s="62" t="s">
        <v>358</v>
      </c>
    </row>
    <row r="31" spans="1:13">
      <c r="A31" s="15">
        <v>26</v>
      </c>
      <c r="B31" s="15" t="s">
        <v>57</v>
      </c>
      <c r="C31" s="33" t="s">
        <v>273</v>
      </c>
      <c r="D31" s="33" t="s">
        <v>130</v>
      </c>
      <c r="E31" s="33" t="s">
        <v>148</v>
      </c>
      <c r="F31" s="33" t="s">
        <v>31</v>
      </c>
      <c r="G31" s="33">
        <v>45000</v>
      </c>
      <c r="H31" s="63">
        <v>0.58333333333333337</v>
      </c>
      <c r="I31" s="63">
        <v>0.66875000000000007</v>
      </c>
      <c r="J31" s="30">
        <f t="shared" si="2"/>
        <v>8.5416666666666696E-2</v>
      </c>
      <c r="K31" s="30" t="str">
        <f t="shared" si="3"/>
        <v>Failed</v>
      </c>
      <c r="L3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x6</v>
      </c>
      <c r="M31" s="31" t="s">
        <v>354</v>
      </c>
    </row>
    <row r="32" spans="1:13">
      <c r="A32" s="15">
        <v>27</v>
      </c>
      <c r="B32" s="15" t="s">
        <v>57</v>
      </c>
      <c r="C32" s="33" t="s">
        <v>278</v>
      </c>
      <c r="D32" s="33" t="s">
        <v>470</v>
      </c>
      <c r="E32" s="33" t="s">
        <v>69</v>
      </c>
      <c r="F32" s="33" t="s">
        <v>24</v>
      </c>
      <c r="G32" s="33">
        <v>54000</v>
      </c>
      <c r="H32" s="63">
        <v>0.57430555555555551</v>
      </c>
      <c r="I32" s="63">
        <v>0.64374999999999993</v>
      </c>
      <c r="J32" s="30">
        <f t="shared" si="2"/>
        <v>6.944444444444442E-2</v>
      </c>
      <c r="K32" s="30" t="str">
        <f t="shared" si="3"/>
        <v>Passed</v>
      </c>
      <c r="L3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32" s="62"/>
    </row>
    <row r="33" spans="1:24">
      <c r="A33" s="15">
        <v>28</v>
      </c>
      <c r="B33" s="15" t="s">
        <v>57</v>
      </c>
      <c r="C33" s="33" t="s">
        <v>391</v>
      </c>
      <c r="D33" s="33" t="s">
        <v>130</v>
      </c>
      <c r="E33" s="33" t="s">
        <v>148</v>
      </c>
      <c r="F33" s="33" t="s">
        <v>31</v>
      </c>
      <c r="G33" s="33">
        <v>27000</v>
      </c>
      <c r="H33" s="63">
        <v>0.58958333333333335</v>
      </c>
      <c r="I33" s="63">
        <v>0.65347222222222223</v>
      </c>
      <c r="J33" s="30">
        <f t="shared" si="2"/>
        <v>6.3888888888888884E-2</v>
      </c>
      <c r="K33" s="30" t="str">
        <f t="shared" si="3"/>
        <v>No Remarks</v>
      </c>
      <c r="L3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33" s="62"/>
      <c r="O33" s="25" t="s">
        <v>355</v>
      </c>
    </row>
    <row r="34" spans="1:24">
      <c r="A34" s="15">
        <v>29</v>
      </c>
      <c r="B34" s="15" t="s">
        <v>57</v>
      </c>
      <c r="C34" s="33" t="s">
        <v>160</v>
      </c>
      <c r="D34" s="33" t="s">
        <v>130</v>
      </c>
      <c r="E34" s="33" t="s">
        <v>148</v>
      </c>
      <c r="F34" s="33" t="s">
        <v>31</v>
      </c>
      <c r="G34" s="33">
        <v>45000</v>
      </c>
      <c r="H34" s="63">
        <v>0.58263888888888882</v>
      </c>
      <c r="I34" s="63">
        <v>0.65625</v>
      </c>
      <c r="J34" s="30">
        <f t="shared" si="2"/>
        <v>7.3611111111111183E-2</v>
      </c>
      <c r="K34" s="30" t="str">
        <f t="shared" si="3"/>
        <v>Failed</v>
      </c>
      <c r="L3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34" s="31" t="s">
        <v>354</v>
      </c>
      <c r="O34" s="29" t="s">
        <v>302</v>
      </c>
      <c r="P34" s="29" t="s">
        <v>303</v>
      </c>
      <c r="Q34" s="29" t="s">
        <v>304</v>
      </c>
      <c r="R34" s="29" t="s">
        <v>305</v>
      </c>
      <c r="S34" s="29" t="s">
        <v>306</v>
      </c>
      <c r="T34" s="29" t="s">
        <v>307</v>
      </c>
      <c r="U34" s="29" t="s">
        <v>308</v>
      </c>
      <c r="V34" s="29" t="s">
        <v>309</v>
      </c>
      <c r="W34" s="29" t="s">
        <v>310</v>
      </c>
      <c r="X34" s="29" t="s">
        <v>311</v>
      </c>
    </row>
    <row r="35" spans="1:24">
      <c r="A35" s="15">
        <v>30</v>
      </c>
      <c r="B35" s="15" t="s">
        <v>57</v>
      </c>
      <c r="C35" s="33" t="s">
        <v>448</v>
      </c>
      <c r="D35" s="33" t="s">
        <v>470</v>
      </c>
      <c r="E35" s="33" t="s">
        <v>449</v>
      </c>
      <c r="F35" s="33" t="s">
        <v>31</v>
      </c>
      <c r="G35" s="33">
        <v>13500</v>
      </c>
      <c r="H35" s="63">
        <v>0.58194444444444449</v>
      </c>
      <c r="I35" s="63">
        <v>0.64236111111111105</v>
      </c>
      <c r="J35" s="30">
        <f t="shared" si="2"/>
        <v>6.0416666666666563E-2</v>
      </c>
      <c r="K35" s="30" t="str">
        <f t="shared" si="3"/>
        <v>No Remarks</v>
      </c>
      <c r="L3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35" s="62"/>
      <c r="O35" s="35" t="s">
        <v>312</v>
      </c>
      <c r="P35" s="35" t="s">
        <v>313</v>
      </c>
      <c r="Q35" s="35" t="s">
        <v>314</v>
      </c>
      <c r="R35" s="35" t="s">
        <v>315</v>
      </c>
      <c r="S35" s="35" t="s">
        <v>316</v>
      </c>
      <c r="T35" s="35" t="s">
        <v>317</v>
      </c>
      <c r="U35" s="35" t="s">
        <v>318</v>
      </c>
      <c r="V35" s="35" t="s">
        <v>319</v>
      </c>
      <c r="W35" s="35" t="s">
        <v>320</v>
      </c>
      <c r="X35" s="35" t="s">
        <v>321</v>
      </c>
    </row>
    <row r="36" spans="1:24">
      <c r="A36" s="15">
        <v>31</v>
      </c>
      <c r="B36" s="15" t="s">
        <v>57</v>
      </c>
      <c r="C36" s="33" t="s">
        <v>428</v>
      </c>
      <c r="D36" s="33" t="s">
        <v>130</v>
      </c>
      <c r="E36" s="33" t="s">
        <v>426</v>
      </c>
      <c r="F36" s="33" t="s">
        <v>24</v>
      </c>
      <c r="G36" s="33">
        <v>22500</v>
      </c>
      <c r="H36" s="63">
        <v>0.59027777777777779</v>
      </c>
      <c r="I36" s="63">
        <v>0.6479166666666667</v>
      </c>
      <c r="J36" s="30">
        <f t="shared" si="2"/>
        <v>5.7638888888888906E-2</v>
      </c>
      <c r="K36" s="30" t="str">
        <f t="shared" si="3"/>
        <v>No Remarks</v>
      </c>
      <c r="L3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36" s="62"/>
      <c r="O36" s="33">
        <f>COUNTIF(April28_2023244[MEAS],O35)</f>
        <v>6</v>
      </c>
      <c r="P36" s="33">
        <f>COUNTIF(April28_2023244[MEAS],P35)</f>
        <v>9</v>
      </c>
      <c r="Q36" s="33">
        <f>COUNTIF(April28_2023244[MEAS],Q35)</f>
        <v>31</v>
      </c>
      <c r="R36" s="33">
        <f>COUNTIF(April28_2023244[MEAS],R35)</f>
        <v>19</v>
      </c>
      <c r="S36" s="33">
        <f>COUNTIF(April28_2023244[MEAS],S35)</f>
        <v>17</v>
      </c>
      <c r="T36" s="33">
        <f>COUNTIF(April28_2023244[MEAS],T35)</f>
        <v>4</v>
      </c>
      <c r="U36" s="33">
        <f>COUNTIF(April28_2023244[MEAS],U35)</f>
        <v>2</v>
      </c>
      <c r="V36" s="33">
        <f>COUNTIF(April28_2023244[MEAS],V35)</f>
        <v>2</v>
      </c>
      <c r="W36" s="33">
        <f>COUNTIF(April28_2023244[MEAS],W35)</f>
        <v>0</v>
      </c>
      <c r="X36" s="33">
        <f>COUNTIF(April28_2023244[MEAS],X35)</f>
        <v>0</v>
      </c>
    </row>
    <row r="37" spans="1:24" ht="15.75">
      <c r="A37" s="15">
        <v>32</v>
      </c>
      <c r="B37" s="15" t="s">
        <v>57</v>
      </c>
      <c r="C37" s="33" t="s">
        <v>460</v>
      </c>
      <c r="D37" s="33" t="s">
        <v>130</v>
      </c>
      <c r="E37" s="33" t="s">
        <v>148</v>
      </c>
      <c r="F37" s="33" t="s">
        <v>31</v>
      </c>
      <c r="G37" s="33">
        <v>13500</v>
      </c>
      <c r="H37" s="63">
        <v>0.60625000000000007</v>
      </c>
      <c r="I37" s="63">
        <v>0.65416666666666667</v>
      </c>
      <c r="J37" s="30">
        <f t="shared" si="2"/>
        <v>4.7916666666666607E-2</v>
      </c>
      <c r="K37" s="30" t="str">
        <f t="shared" si="3"/>
        <v>No Remarks</v>
      </c>
      <c r="L3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37" s="62"/>
      <c r="O37" s="36" t="s">
        <v>28</v>
      </c>
      <c r="P37" s="36">
        <f>SUM(O36:X36)</f>
        <v>90</v>
      </c>
      <c r="Q37" s="33"/>
      <c r="R37" s="33"/>
      <c r="S37" s="33"/>
      <c r="T37" s="33"/>
      <c r="U37" s="35"/>
      <c r="V37" s="35"/>
      <c r="W37" s="41"/>
      <c r="X37" s="33"/>
    </row>
    <row r="38" spans="1:24">
      <c r="A38" s="15">
        <v>33</v>
      </c>
      <c r="B38" s="15" t="s">
        <v>57</v>
      </c>
      <c r="C38" s="33" t="s">
        <v>191</v>
      </c>
      <c r="D38" s="33" t="s">
        <v>130</v>
      </c>
      <c r="E38" s="33" t="s">
        <v>148</v>
      </c>
      <c r="F38" s="33" t="s">
        <v>24</v>
      </c>
      <c r="G38" s="33">
        <v>18000</v>
      </c>
      <c r="H38" s="63">
        <v>0.57500000000000007</v>
      </c>
      <c r="I38" s="63">
        <v>0.64027777777777783</v>
      </c>
      <c r="J38" s="30">
        <f t="shared" si="2"/>
        <v>6.5277777777777768E-2</v>
      </c>
      <c r="K38" s="30" t="str">
        <f t="shared" si="3"/>
        <v>No Remarks</v>
      </c>
      <c r="L3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38" s="62"/>
    </row>
    <row r="39" spans="1:24">
      <c r="A39" s="15">
        <v>34</v>
      </c>
      <c r="B39" s="15" t="s">
        <v>57</v>
      </c>
      <c r="C39" s="33" t="s">
        <v>491</v>
      </c>
      <c r="D39" s="33" t="s">
        <v>470</v>
      </c>
      <c r="E39" s="33" t="s">
        <v>210</v>
      </c>
      <c r="F39" s="33" t="s">
        <v>24</v>
      </c>
      <c r="G39" s="33">
        <v>54000</v>
      </c>
      <c r="H39" s="63">
        <v>0.57777777777777783</v>
      </c>
      <c r="I39" s="63">
        <v>0.64097222222222217</v>
      </c>
      <c r="J39" s="30">
        <f t="shared" si="2"/>
        <v>6.3194444444444331E-2</v>
      </c>
      <c r="K39" s="30" t="str">
        <f t="shared" si="3"/>
        <v>Passed</v>
      </c>
      <c r="L3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39" s="62"/>
    </row>
    <row r="40" spans="1:24">
      <c r="A40" s="15">
        <v>35</v>
      </c>
      <c r="B40" s="15" t="s">
        <v>57</v>
      </c>
      <c r="C40" s="33" t="s">
        <v>256</v>
      </c>
      <c r="D40" s="33" t="s">
        <v>452</v>
      </c>
      <c r="E40" s="33" t="s">
        <v>492</v>
      </c>
      <c r="F40" s="33" t="s">
        <v>31</v>
      </c>
      <c r="G40" s="33">
        <v>36000</v>
      </c>
      <c r="H40" s="63">
        <v>0.55069444444444449</v>
      </c>
      <c r="I40" s="63">
        <v>0.62361111111111112</v>
      </c>
      <c r="J40" s="30">
        <f t="shared" si="2"/>
        <v>7.291666666666663E-2</v>
      </c>
      <c r="K40" s="30" t="str">
        <f t="shared" si="3"/>
        <v>No Remarks</v>
      </c>
      <c r="L4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40" s="62"/>
    </row>
    <row r="41" spans="1:24">
      <c r="A41" s="15">
        <v>36</v>
      </c>
      <c r="B41" s="15" t="s">
        <v>57</v>
      </c>
      <c r="C41" s="33" t="s">
        <v>301</v>
      </c>
      <c r="D41" s="33" t="s">
        <v>130</v>
      </c>
      <c r="E41" s="33" t="s">
        <v>148</v>
      </c>
      <c r="F41" s="33" t="s">
        <v>24</v>
      </c>
      <c r="G41" s="33">
        <v>18000</v>
      </c>
      <c r="H41" s="63">
        <v>0.57430555555555551</v>
      </c>
      <c r="I41" s="63">
        <v>0.65277777777777779</v>
      </c>
      <c r="J41" s="30">
        <f t="shared" si="2"/>
        <v>7.8472222222222276E-2</v>
      </c>
      <c r="K41" s="30" t="str">
        <f t="shared" si="3"/>
        <v>No Remarks</v>
      </c>
      <c r="L4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41" s="62"/>
    </row>
    <row r="42" spans="1:24">
      <c r="A42" s="15">
        <v>37</v>
      </c>
      <c r="B42" s="15" t="s">
        <v>57</v>
      </c>
      <c r="C42" s="33" t="s">
        <v>441</v>
      </c>
      <c r="D42" s="33" t="s">
        <v>130</v>
      </c>
      <c r="E42" s="33" t="s">
        <v>148</v>
      </c>
      <c r="F42" s="33" t="s">
        <v>24</v>
      </c>
      <c r="G42" s="33">
        <v>45000</v>
      </c>
      <c r="H42" s="63">
        <v>0.54861111111111105</v>
      </c>
      <c r="I42" s="63">
        <v>0.62291666666666667</v>
      </c>
      <c r="J42" s="30">
        <f t="shared" si="2"/>
        <v>7.4305555555555625E-2</v>
      </c>
      <c r="K42" s="30" t="str">
        <f t="shared" si="3"/>
        <v>Failed</v>
      </c>
      <c r="L4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42" s="62" t="s">
        <v>358</v>
      </c>
    </row>
    <row r="43" spans="1:24">
      <c r="A43" s="15">
        <v>38</v>
      </c>
      <c r="B43" s="15" t="s">
        <v>57</v>
      </c>
      <c r="C43" s="33" t="s">
        <v>405</v>
      </c>
      <c r="D43" s="33" t="s">
        <v>130</v>
      </c>
      <c r="E43" s="33" t="s">
        <v>148</v>
      </c>
      <c r="F43" s="33" t="s">
        <v>31</v>
      </c>
      <c r="G43" s="33">
        <v>36000</v>
      </c>
      <c r="H43" s="63">
        <v>0.55138888888888882</v>
      </c>
      <c r="I43" s="63">
        <v>0.62152777777777779</v>
      </c>
      <c r="J43" s="30">
        <f t="shared" si="2"/>
        <v>7.0138888888888973E-2</v>
      </c>
      <c r="K43" s="30" t="str">
        <f t="shared" si="3"/>
        <v>No Remarks</v>
      </c>
      <c r="L4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43" s="62"/>
    </row>
    <row r="44" spans="1:24">
      <c r="A44" s="15">
        <v>39</v>
      </c>
      <c r="B44" s="15" t="s">
        <v>57</v>
      </c>
      <c r="C44" s="33" t="s">
        <v>75</v>
      </c>
      <c r="D44" s="33" t="s">
        <v>470</v>
      </c>
      <c r="E44" s="33" t="s">
        <v>69</v>
      </c>
      <c r="F44" s="33" t="s">
        <v>24</v>
      </c>
      <c r="G44" s="33">
        <v>54000</v>
      </c>
      <c r="H44" s="63">
        <v>0.54375000000000007</v>
      </c>
      <c r="I44" s="63">
        <v>0.59930555555555554</v>
      </c>
      <c r="J44" s="30">
        <f t="shared" si="2"/>
        <v>5.5555555555555469E-2</v>
      </c>
      <c r="K44" s="30" t="str">
        <f t="shared" si="3"/>
        <v>Passed</v>
      </c>
      <c r="L4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44" s="62"/>
    </row>
    <row r="45" spans="1:24">
      <c r="A45" s="15">
        <v>40</v>
      </c>
      <c r="B45" s="15" t="s">
        <v>57</v>
      </c>
      <c r="C45" s="33" t="s">
        <v>435</v>
      </c>
      <c r="D45" s="33" t="s">
        <v>130</v>
      </c>
      <c r="E45" s="33" t="s">
        <v>148</v>
      </c>
      <c r="F45" s="33" t="s">
        <v>31</v>
      </c>
      <c r="G45" s="33">
        <v>45000</v>
      </c>
      <c r="H45" s="63">
        <v>0.54999999999999993</v>
      </c>
      <c r="I45" s="63">
        <v>0.62013888888888891</v>
      </c>
      <c r="J45" s="30">
        <f t="shared" si="2"/>
        <v>7.0138888888888973E-2</v>
      </c>
      <c r="K45" s="30" t="str">
        <f t="shared" si="3"/>
        <v>Passed</v>
      </c>
      <c r="L4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45" s="62"/>
    </row>
    <row r="46" spans="1:24">
      <c r="A46" s="15">
        <v>41</v>
      </c>
      <c r="B46" s="15" t="s">
        <v>57</v>
      </c>
      <c r="C46" s="33" t="s">
        <v>323</v>
      </c>
      <c r="D46" s="33" t="s">
        <v>130</v>
      </c>
      <c r="E46" s="33" t="s">
        <v>148</v>
      </c>
      <c r="F46" s="33" t="s">
        <v>24</v>
      </c>
      <c r="G46" s="33">
        <v>27000</v>
      </c>
      <c r="H46" s="63">
        <v>0.54236111111111118</v>
      </c>
      <c r="I46" s="63">
        <v>0.61875000000000002</v>
      </c>
      <c r="J46" s="30">
        <f t="shared" si="2"/>
        <v>7.638888888888884E-2</v>
      </c>
      <c r="K46" s="30" t="str">
        <f t="shared" si="3"/>
        <v>No Remarks</v>
      </c>
      <c r="L4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46" s="62"/>
    </row>
    <row r="47" spans="1:24">
      <c r="A47" s="15">
        <v>42</v>
      </c>
      <c r="B47" s="15" t="s">
        <v>57</v>
      </c>
      <c r="C47" s="33" t="s">
        <v>474</v>
      </c>
      <c r="D47" s="33" t="s">
        <v>130</v>
      </c>
      <c r="E47" s="33" t="s">
        <v>148</v>
      </c>
      <c r="F47" s="33" t="s">
        <v>31</v>
      </c>
      <c r="G47" s="33">
        <v>13500</v>
      </c>
      <c r="H47" s="63">
        <v>0.56111111111111112</v>
      </c>
      <c r="I47" s="63">
        <v>0.62222222222222223</v>
      </c>
      <c r="J47" s="30">
        <f t="shared" si="2"/>
        <v>6.1111111111111116E-2</v>
      </c>
      <c r="K47" s="30" t="str">
        <f t="shared" si="3"/>
        <v>No Remarks</v>
      </c>
      <c r="L4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47" s="62"/>
    </row>
    <row r="48" spans="1:24">
      <c r="A48" s="15">
        <v>43</v>
      </c>
      <c r="B48" s="15" t="s">
        <v>57</v>
      </c>
      <c r="C48" s="33" t="s">
        <v>270</v>
      </c>
      <c r="D48" s="33" t="s">
        <v>130</v>
      </c>
      <c r="E48" s="33" t="s">
        <v>426</v>
      </c>
      <c r="F48" s="33" t="s">
        <v>24</v>
      </c>
      <c r="G48" s="33">
        <v>27000</v>
      </c>
      <c r="H48" s="63">
        <v>0.54513888888888895</v>
      </c>
      <c r="I48" s="63">
        <v>0.65694444444444444</v>
      </c>
      <c r="J48" s="30">
        <f t="shared" si="2"/>
        <v>0.11180555555555549</v>
      </c>
      <c r="K48" s="30" t="str">
        <f t="shared" si="3"/>
        <v>No Remarks</v>
      </c>
      <c r="L4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x8</v>
      </c>
      <c r="M48" s="62"/>
    </row>
    <row r="49" spans="1:28">
      <c r="A49" s="15">
        <v>44</v>
      </c>
      <c r="B49" s="15" t="s">
        <v>57</v>
      </c>
      <c r="C49" s="33" t="s">
        <v>168</v>
      </c>
      <c r="D49" s="33" t="s">
        <v>470</v>
      </c>
      <c r="E49" s="33" t="s">
        <v>457</v>
      </c>
      <c r="F49" s="33" t="s">
        <v>24</v>
      </c>
      <c r="G49" s="33">
        <v>54000</v>
      </c>
      <c r="H49" s="63">
        <v>0.5444444444444444</v>
      </c>
      <c r="I49" s="63">
        <v>0.59722222222222221</v>
      </c>
      <c r="J49" s="30">
        <f t="shared" si="2"/>
        <v>5.2777777777777812E-2</v>
      </c>
      <c r="K49" s="30" t="str">
        <f t="shared" si="3"/>
        <v>Passed</v>
      </c>
      <c r="L4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49" s="62"/>
    </row>
    <row r="50" spans="1:28">
      <c r="A50" s="15">
        <v>45</v>
      </c>
      <c r="B50" s="15" t="s">
        <v>57</v>
      </c>
      <c r="C50" s="33" t="s">
        <v>117</v>
      </c>
      <c r="D50" s="33" t="s">
        <v>346</v>
      </c>
      <c r="E50" s="33" t="s">
        <v>71</v>
      </c>
      <c r="F50" s="33" t="s">
        <v>31</v>
      </c>
      <c r="G50" s="33">
        <v>13500</v>
      </c>
      <c r="H50" s="63">
        <v>0.54999999999999993</v>
      </c>
      <c r="I50" s="63">
        <v>0.60069444444444442</v>
      </c>
      <c r="J50" s="30">
        <f t="shared" si="2"/>
        <v>5.0694444444444486E-2</v>
      </c>
      <c r="K50" s="30" t="str">
        <f t="shared" si="3"/>
        <v>No Remarks</v>
      </c>
      <c r="L5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50" s="62"/>
    </row>
    <row r="51" spans="1:28">
      <c r="A51" s="15">
        <v>46</v>
      </c>
      <c r="B51" s="15" t="s">
        <v>57</v>
      </c>
      <c r="C51" s="33" t="s">
        <v>253</v>
      </c>
      <c r="D51" s="33" t="s">
        <v>130</v>
      </c>
      <c r="E51" s="33" t="s">
        <v>426</v>
      </c>
      <c r="F51" s="33" t="s">
        <v>24</v>
      </c>
      <c r="G51" s="33">
        <v>40500</v>
      </c>
      <c r="H51" s="63">
        <v>0.54166666666666663</v>
      </c>
      <c r="I51" s="63">
        <v>0.59861111111111109</v>
      </c>
      <c r="J51" s="30">
        <f t="shared" si="2"/>
        <v>5.6944444444444464E-2</v>
      </c>
      <c r="K51" s="30" t="str">
        <f t="shared" si="3"/>
        <v>No Remarks</v>
      </c>
      <c r="L5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51" s="62"/>
    </row>
    <row r="52" spans="1:28">
      <c r="A52" s="15">
        <v>47</v>
      </c>
      <c r="B52" s="15" t="s">
        <v>57</v>
      </c>
      <c r="C52" s="33" t="s">
        <v>224</v>
      </c>
      <c r="D52" s="33" t="s">
        <v>346</v>
      </c>
      <c r="E52" s="33" t="s">
        <v>71</v>
      </c>
      <c r="F52" s="33" t="s">
        <v>31</v>
      </c>
      <c r="G52" s="33">
        <v>45000</v>
      </c>
      <c r="H52" s="63">
        <v>0.52361111111111114</v>
      </c>
      <c r="I52" s="63">
        <v>0.58958333333333335</v>
      </c>
      <c r="J52" s="30">
        <f t="shared" si="2"/>
        <v>6.597222222222221E-2</v>
      </c>
      <c r="K52" s="30" t="str">
        <f t="shared" si="3"/>
        <v>Passed</v>
      </c>
      <c r="L5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52" s="62"/>
    </row>
    <row r="53" spans="1:28">
      <c r="A53" s="15">
        <v>48</v>
      </c>
      <c r="B53" s="15" t="s">
        <v>57</v>
      </c>
      <c r="C53" s="33" t="s">
        <v>329</v>
      </c>
      <c r="D53" s="33" t="s">
        <v>130</v>
      </c>
      <c r="E53" s="33" t="s">
        <v>148</v>
      </c>
      <c r="F53" s="33" t="s">
        <v>24</v>
      </c>
      <c r="G53" s="33">
        <v>54000</v>
      </c>
      <c r="H53" s="63">
        <v>0.52152777777777781</v>
      </c>
      <c r="I53" s="63">
        <v>0.58680555555555558</v>
      </c>
      <c r="J53" s="30">
        <f t="shared" si="2"/>
        <v>6.5277777777777768E-2</v>
      </c>
      <c r="K53" s="30" t="str">
        <f t="shared" si="3"/>
        <v>Passed</v>
      </c>
      <c r="L5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53" s="62"/>
    </row>
    <row r="54" spans="1:28">
      <c r="A54" s="15">
        <v>49</v>
      </c>
      <c r="B54" s="15" t="s">
        <v>57</v>
      </c>
      <c r="C54" s="33" t="s">
        <v>218</v>
      </c>
      <c r="D54" s="33" t="s">
        <v>130</v>
      </c>
      <c r="E54" s="33" t="s">
        <v>148</v>
      </c>
      <c r="F54" s="33" t="s">
        <v>31</v>
      </c>
      <c r="G54" s="33">
        <v>36000</v>
      </c>
      <c r="H54" s="63">
        <v>0.52500000000000002</v>
      </c>
      <c r="I54" s="63">
        <v>0.60416666666666663</v>
      </c>
      <c r="J54" s="30">
        <f t="shared" si="2"/>
        <v>7.9166666666666607E-2</v>
      </c>
      <c r="K54" s="30" t="str">
        <f t="shared" si="3"/>
        <v>No Remarks</v>
      </c>
      <c r="L5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54" s="62"/>
    </row>
    <row r="55" spans="1:28">
      <c r="A55" s="15">
        <v>50</v>
      </c>
      <c r="B55" s="15" t="s">
        <v>57</v>
      </c>
      <c r="C55" s="33" t="s">
        <v>289</v>
      </c>
      <c r="D55" s="33" t="s">
        <v>61</v>
      </c>
      <c r="E55" s="33" t="s">
        <v>390</v>
      </c>
      <c r="F55" s="33" t="s">
        <v>31</v>
      </c>
      <c r="G55" s="33">
        <v>54000</v>
      </c>
      <c r="H55" s="63">
        <v>0.52430555555555558</v>
      </c>
      <c r="I55" s="63">
        <v>0.61249999999999993</v>
      </c>
      <c r="J55" s="30">
        <f t="shared" si="2"/>
        <v>8.8194444444444353E-2</v>
      </c>
      <c r="K55" s="30" t="str">
        <f t="shared" si="3"/>
        <v>Failed</v>
      </c>
      <c r="L5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x6</v>
      </c>
      <c r="M55" s="31" t="s">
        <v>354</v>
      </c>
    </row>
    <row r="56" spans="1:28">
      <c r="A56" s="15">
        <v>51</v>
      </c>
      <c r="B56" s="15" t="s">
        <v>57</v>
      </c>
      <c r="C56" s="33" t="s">
        <v>327</v>
      </c>
      <c r="D56" s="33" t="s">
        <v>130</v>
      </c>
      <c r="E56" s="33" t="s">
        <v>148</v>
      </c>
      <c r="F56" s="33" t="s">
        <v>31</v>
      </c>
      <c r="G56" s="33">
        <v>54000</v>
      </c>
      <c r="H56" s="63">
        <v>0.50694444444444442</v>
      </c>
      <c r="I56" s="63">
        <v>0.58611111111111114</v>
      </c>
      <c r="J56" s="30">
        <f t="shared" si="2"/>
        <v>7.9166666666666718E-2</v>
      </c>
      <c r="K56" s="30" t="str">
        <f t="shared" si="3"/>
        <v>Failed</v>
      </c>
      <c r="L5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56" s="31" t="s">
        <v>354</v>
      </c>
    </row>
    <row r="57" spans="1:28">
      <c r="A57" s="15">
        <v>52</v>
      </c>
      <c r="B57" s="15" t="s">
        <v>57</v>
      </c>
      <c r="C57" s="33" t="s">
        <v>475</v>
      </c>
      <c r="D57" s="33" t="s">
        <v>130</v>
      </c>
      <c r="E57" s="33" t="s">
        <v>148</v>
      </c>
      <c r="F57" s="33" t="s">
        <v>24</v>
      </c>
      <c r="G57" s="33">
        <v>27000</v>
      </c>
      <c r="H57" s="63">
        <v>0.52083333333333337</v>
      </c>
      <c r="I57" s="63">
        <v>0.5805555555555556</v>
      </c>
      <c r="J57" s="30">
        <f t="shared" si="2"/>
        <v>5.9722222222222232E-2</v>
      </c>
      <c r="K57" s="30" t="str">
        <f t="shared" si="3"/>
        <v>No Remarks</v>
      </c>
      <c r="L5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57" s="62"/>
    </row>
    <row r="58" spans="1:28">
      <c r="A58" s="15">
        <v>53</v>
      </c>
      <c r="B58" s="15" t="s">
        <v>57</v>
      </c>
      <c r="C58" s="33" t="s">
        <v>246</v>
      </c>
      <c r="D58" s="33" t="s">
        <v>130</v>
      </c>
      <c r="E58" s="33" t="s">
        <v>148</v>
      </c>
      <c r="F58" s="33" t="s">
        <v>24</v>
      </c>
      <c r="G58" s="33">
        <v>27000</v>
      </c>
      <c r="H58" s="63">
        <v>0.52847222222222223</v>
      </c>
      <c r="I58" s="63">
        <v>0.58333333333333337</v>
      </c>
      <c r="J58" s="30">
        <f t="shared" si="2"/>
        <v>5.4861111111111138E-2</v>
      </c>
      <c r="K58" s="30" t="str">
        <f t="shared" si="3"/>
        <v>No Remarks</v>
      </c>
      <c r="L5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58" s="62"/>
    </row>
    <row r="59" spans="1:28">
      <c r="A59" s="15">
        <v>54</v>
      </c>
      <c r="B59" s="15" t="s">
        <v>57</v>
      </c>
      <c r="C59" s="33" t="s">
        <v>332</v>
      </c>
      <c r="D59" s="33" t="s">
        <v>130</v>
      </c>
      <c r="E59" s="33" t="s">
        <v>148</v>
      </c>
      <c r="F59" s="33" t="s">
        <v>24</v>
      </c>
      <c r="G59" s="33">
        <v>54000</v>
      </c>
      <c r="H59" s="63">
        <v>0.50347222222222221</v>
      </c>
      <c r="I59" s="63">
        <v>0.58263888888888882</v>
      </c>
      <c r="J59" s="30">
        <f t="shared" si="2"/>
        <v>7.9166666666666607E-2</v>
      </c>
      <c r="K59" s="30" t="str">
        <f t="shared" si="3"/>
        <v>Failed</v>
      </c>
      <c r="L5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59" s="62" t="s">
        <v>358</v>
      </c>
    </row>
    <row r="60" spans="1:28">
      <c r="A60" s="15">
        <v>55</v>
      </c>
      <c r="B60" s="15" t="s">
        <v>57</v>
      </c>
      <c r="C60" s="33" t="s">
        <v>400</v>
      </c>
      <c r="D60" s="33" t="s">
        <v>130</v>
      </c>
      <c r="E60" s="33" t="s">
        <v>148</v>
      </c>
      <c r="F60" s="33" t="s">
        <v>31</v>
      </c>
      <c r="G60" s="33">
        <v>27000</v>
      </c>
      <c r="H60" s="63">
        <v>0.52222222222222225</v>
      </c>
      <c r="I60" s="63">
        <v>0.58333333333333337</v>
      </c>
      <c r="J60" s="30">
        <f t="shared" si="2"/>
        <v>6.1111111111111116E-2</v>
      </c>
      <c r="K60" s="30" t="str">
        <f t="shared" si="3"/>
        <v>No Remarks</v>
      </c>
      <c r="L6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60" s="62"/>
    </row>
    <row r="61" spans="1:28" ht="15.75">
      <c r="A61" s="15">
        <v>56</v>
      </c>
      <c r="B61" s="15" t="s">
        <v>57</v>
      </c>
      <c r="C61" s="33" t="s">
        <v>129</v>
      </c>
      <c r="D61" s="33" t="s">
        <v>130</v>
      </c>
      <c r="E61" s="33" t="s">
        <v>148</v>
      </c>
      <c r="F61" s="33" t="s">
        <v>24</v>
      </c>
      <c r="G61" s="33">
        <v>27000</v>
      </c>
      <c r="H61" s="63">
        <v>0.52013888888888882</v>
      </c>
      <c r="I61" s="63">
        <v>0.57916666666666672</v>
      </c>
      <c r="J61" s="30">
        <f t="shared" si="2"/>
        <v>5.9027777777777901E-2</v>
      </c>
      <c r="K61" s="30" t="str">
        <f t="shared" si="3"/>
        <v>No Remarks</v>
      </c>
      <c r="L6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61" s="62"/>
      <c r="O61" s="37" t="s">
        <v>356</v>
      </c>
    </row>
    <row r="62" spans="1:28">
      <c r="A62" s="15">
        <v>57</v>
      </c>
      <c r="B62" s="15" t="s">
        <v>57</v>
      </c>
      <c r="C62" s="33" t="s">
        <v>262</v>
      </c>
      <c r="D62" s="33" t="s">
        <v>130</v>
      </c>
      <c r="E62" s="33" t="s">
        <v>148</v>
      </c>
      <c r="F62" s="33" t="s">
        <v>24</v>
      </c>
      <c r="G62" s="33">
        <v>31500</v>
      </c>
      <c r="H62" s="63">
        <v>0.50416666666666665</v>
      </c>
      <c r="I62" s="63">
        <v>0.56388888888888888</v>
      </c>
      <c r="J62" s="30">
        <f t="shared" si="2"/>
        <v>5.9722222222222232E-2</v>
      </c>
      <c r="K62" s="30" t="str">
        <f t="shared" si="3"/>
        <v>No Remarks</v>
      </c>
      <c r="L6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62" s="62"/>
      <c r="O62" s="35" t="s">
        <v>354</v>
      </c>
      <c r="P62" s="35" t="s">
        <v>357</v>
      </c>
      <c r="Q62" s="35" t="s">
        <v>358</v>
      </c>
      <c r="R62" s="35" t="s">
        <v>359</v>
      </c>
      <c r="S62" s="35" t="s">
        <v>360</v>
      </c>
      <c r="T62" s="35" t="s">
        <v>361</v>
      </c>
      <c r="U62" s="35" t="s">
        <v>362</v>
      </c>
      <c r="V62" s="35" t="s">
        <v>363</v>
      </c>
      <c r="W62" s="35" t="s">
        <v>364</v>
      </c>
      <c r="X62" s="35" t="s">
        <v>353</v>
      </c>
      <c r="Y62" s="35" t="s">
        <v>352</v>
      </c>
      <c r="Z62" s="35" t="s">
        <v>365</v>
      </c>
      <c r="AA62" s="42" t="s">
        <v>388</v>
      </c>
      <c r="AB62" s="43"/>
    </row>
    <row r="63" spans="1:28" s="2" customFormat="1" ht="28.5">
      <c r="A63" s="15">
        <v>58</v>
      </c>
      <c r="B63" s="15" t="s">
        <v>57</v>
      </c>
      <c r="C63" s="33" t="s">
        <v>175</v>
      </c>
      <c r="D63" s="33" t="s">
        <v>61</v>
      </c>
      <c r="E63" s="33" t="s">
        <v>390</v>
      </c>
      <c r="F63" s="33" t="s">
        <v>31</v>
      </c>
      <c r="G63" s="33">
        <v>54000</v>
      </c>
      <c r="H63" s="63">
        <v>0.50486111111111109</v>
      </c>
      <c r="I63" s="63">
        <v>0.56458333333333333</v>
      </c>
      <c r="J63" s="30">
        <f t="shared" si="2"/>
        <v>5.9722222222222232E-2</v>
      </c>
      <c r="K63" s="30" t="str">
        <f t="shared" si="3"/>
        <v>Passed</v>
      </c>
      <c r="L6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63" s="62"/>
      <c r="O63" s="38" t="s">
        <v>366</v>
      </c>
      <c r="P63" s="38" t="s">
        <v>367</v>
      </c>
      <c r="Q63" s="38" t="s">
        <v>368</v>
      </c>
      <c r="R63" s="38" t="s">
        <v>369</v>
      </c>
      <c r="S63" s="38" t="s">
        <v>370</v>
      </c>
      <c r="T63" s="38" t="s">
        <v>371</v>
      </c>
      <c r="U63" s="38" t="s">
        <v>372</v>
      </c>
      <c r="V63" s="38" t="s">
        <v>373</v>
      </c>
      <c r="W63" s="38" t="s">
        <v>374</v>
      </c>
      <c r="X63" s="38" t="s">
        <v>375</v>
      </c>
      <c r="Y63" s="38" t="s">
        <v>376</v>
      </c>
      <c r="Z63" s="38" t="s">
        <v>377</v>
      </c>
      <c r="AA63" s="44" t="s">
        <v>389</v>
      </c>
      <c r="AB63" s="45"/>
    </row>
    <row r="64" spans="1:28">
      <c r="A64" s="15">
        <v>59</v>
      </c>
      <c r="B64" s="15" t="s">
        <v>57</v>
      </c>
      <c r="C64" s="33" t="s">
        <v>444</v>
      </c>
      <c r="D64" s="33" t="s">
        <v>130</v>
      </c>
      <c r="E64" s="33" t="s">
        <v>148</v>
      </c>
      <c r="F64" s="33" t="s">
        <v>24</v>
      </c>
      <c r="G64" s="33">
        <v>54000</v>
      </c>
      <c r="H64" s="63">
        <v>0.49027777777777781</v>
      </c>
      <c r="I64" s="63">
        <v>0.5708333333333333</v>
      </c>
      <c r="J64" s="30">
        <f t="shared" si="2"/>
        <v>8.0555555555555491E-2</v>
      </c>
      <c r="K64" s="30" t="str">
        <f t="shared" si="3"/>
        <v>Failed</v>
      </c>
      <c r="L6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64" s="62" t="s">
        <v>358</v>
      </c>
      <c r="O64" s="33">
        <f>COUNTIF(April28_2023244[CR],O62)</f>
        <v>12</v>
      </c>
      <c r="P64" s="33">
        <f>COUNTIF(April28_2023244[CR],P62)</f>
        <v>0</v>
      </c>
      <c r="Q64" s="33">
        <f>COUNTIF(April28_2023244[CR],Q62)</f>
        <v>5</v>
      </c>
      <c r="R64" s="33">
        <f>COUNTIF(April28_2023244[CR],R62)</f>
        <v>0</v>
      </c>
      <c r="S64" s="33">
        <f>COUNTIF(April28_2023244[CR],S62)</f>
        <v>0</v>
      </c>
      <c r="T64" s="33">
        <f>COUNTIF(April28_2023244[CR],T62)</f>
        <v>0</v>
      </c>
      <c r="U64" s="33">
        <f>COUNTIF(April28_2023244[CR],U62)</f>
        <v>0</v>
      </c>
      <c r="V64" s="33">
        <f>COUNTIF(April28_2023244[CR],V62)</f>
        <v>0</v>
      </c>
      <c r="W64" s="33">
        <f>COUNTIF(April28_2023244[CR],W62)</f>
        <v>0</v>
      </c>
      <c r="X64" s="33">
        <f>COUNTIF(April28_2023244[CR],X62)</f>
        <v>0</v>
      </c>
      <c r="Y64" s="33">
        <f>COUNTIF(April28_2023244[CR],Y62)</f>
        <v>0</v>
      </c>
      <c r="Z64" s="33">
        <f>COUNTIF(April28_2023244[CR],Z62)</f>
        <v>0</v>
      </c>
      <c r="AA64" s="46">
        <f>COUNTIF(April28_2023244[CR],AA62)</f>
        <v>0</v>
      </c>
      <c r="AB64" s="47"/>
    </row>
    <row r="65" spans="1:28" ht="15.75">
      <c r="A65" s="15">
        <v>60</v>
      </c>
      <c r="B65" s="15" t="s">
        <v>57</v>
      </c>
      <c r="C65" s="33" t="s">
        <v>244</v>
      </c>
      <c r="D65" s="33" t="s">
        <v>130</v>
      </c>
      <c r="E65" s="33" t="s">
        <v>148</v>
      </c>
      <c r="F65" s="33" t="s">
        <v>24</v>
      </c>
      <c r="G65" s="33">
        <v>13500</v>
      </c>
      <c r="H65" s="63">
        <v>0.50555555555555554</v>
      </c>
      <c r="I65" s="63">
        <v>0.5541666666666667</v>
      </c>
      <c r="J65" s="30">
        <f t="shared" si="2"/>
        <v>4.861111111111116E-2</v>
      </c>
      <c r="K65" s="30" t="str">
        <f t="shared" si="3"/>
        <v>No Remarks</v>
      </c>
      <c r="L6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65" s="62"/>
      <c r="O65" s="36" t="s">
        <v>28</v>
      </c>
      <c r="P65" s="36">
        <f>SUM(O64:Z64)</f>
        <v>17</v>
      </c>
      <c r="Q65" s="33"/>
      <c r="R65" s="33"/>
      <c r="S65" s="33"/>
      <c r="T65" s="33"/>
      <c r="U65" s="35"/>
      <c r="V65" s="35"/>
      <c r="W65" s="41"/>
      <c r="X65" s="33"/>
      <c r="Y65" s="33"/>
      <c r="Z65" s="33"/>
      <c r="AA65" s="46"/>
      <c r="AB65" s="47"/>
    </row>
    <row r="66" spans="1:28">
      <c r="A66" s="15">
        <v>61</v>
      </c>
      <c r="B66" s="15" t="s">
        <v>57</v>
      </c>
      <c r="C66" s="33" t="s">
        <v>62</v>
      </c>
      <c r="D66" s="33" t="s">
        <v>61</v>
      </c>
      <c r="E66" s="33" t="s">
        <v>390</v>
      </c>
      <c r="F66" s="33" t="s">
        <v>31</v>
      </c>
      <c r="G66" s="33">
        <v>50000</v>
      </c>
      <c r="H66" s="63">
        <v>0.4770833333333333</v>
      </c>
      <c r="I66" s="63">
        <v>0.57291666666666663</v>
      </c>
      <c r="J66" s="30">
        <f t="shared" si="2"/>
        <v>9.5833333333333326E-2</v>
      </c>
      <c r="K66" s="30" t="str">
        <f t="shared" si="3"/>
        <v>Failed</v>
      </c>
      <c r="L6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x7</v>
      </c>
      <c r="M66" s="31" t="s">
        <v>354</v>
      </c>
    </row>
    <row r="67" spans="1:28">
      <c r="A67" s="15">
        <v>62</v>
      </c>
      <c r="B67" s="15" t="s">
        <v>57</v>
      </c>
      <c r="C67" s="33" t="s">
        <v>274</v>
      </c>
      <c r="D67" s="33" t="s">
        <v>130</v>
      </c>
      <c r="E67" s="33" t="s">
        <v>148</v>
      </c>
      <c r="F67" s="33" t="s">
        <v>24</v>
      </c>
      <c r="G67" s="33">
        <v>36000</v>
      </c>
      <c r="H67" s="63">
        <v>0.4916666666666667</v>
      </c>
      <c r="I67" s="63">
        <v>0.55625000000000002</v>
      </c>
      <c r="J67" s="30">
        <f t="shared" si="2"/>
        <v>6.4583333333333326E-2</v>
      </c>
      <c r="K67" s="30" t="str">
        <f t="shared" si="3"/>
        <v>No Remarks</v>
      </c>
      <c r="L6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67" s="62"/>
    </row>
    <row r="68" spans="1:28" s="3" customFormat="1">
      <c r="A68" s="15">
        <v>63</v>
      </c>
      <c r="B68" s="15" t="s">
        <v>57</v>
      </c>
      <c r="C68" s="33" t="s">
        <v>462</v>
      </c>
      <c r="D68" s="33" t="s">
        <v>346</v>
      </c>
      <c r="E68" s="33" t="s">
        <v>71</v>
      </c>
      <c r="F68" s="33" t="s">
        <v>31</v>
      </c>
      <c r="G68" s="33">
        <v>13500</v>
      </c>
      <c r="H68" s="63">
        <v>0.50624999999999998</v>
      </c>
      <c r="I68" s="63">
        <v>0.55277777777777781</v>
      </c>
      <c r="J68" s="30">
        <f t="shared" si="2"/>
        <v>4.6527777777777835E-2</v>
      </c>
      <c r="K68" s="30" t="str">
        <f t="shared" si="3"/>
        <v>No Remarks</v>
      </c>
      <c r="L6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68" s="62"/>
    </row>
    <row r="69" spans="1:28" s="3" customFormat="1">
      <c r="A69" s="15">
        <v>64</v>
      </c>
      <c r="B69" s="15" t="s">
        <v>57</v>
      </c>
      <c r="C69" s="33" t="s">
        <v>322</v>
      </c>
      <c r="D69" s="33" t="s">
        <v>130</v>
      </c>
      <c r="E69" s="33" t="s">
        <v>148</v>
      </c>
      <c r="F69" s="33" t="s">
        <v>24</v>
      </c>
      <c r="G69" s="33">
        <v>36000</v>
      </c>
      <c r="H69" s="63">
        <v>0.47500000000000003</v>
      </c>
      <c r="I69" s="63">
        <v>0.55208333333333337</v>
      </c>
      <c r="J69" s="30">
        <f t="shared" si="2"/>
        <v>7.7083333333333337E-2</v>
      </c>
      <c r="K69" s="30" t="str">
        <f t="shared" si="3"/>
        <v>No Remarks</v>
      </c>
      <c r="L6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69" s="62"/>
    </row>
    <row r="70" spans="1:28" s="3" customFormat="1">
      <c r="A70" s="15">
        <v>65</v>
      </c>
      <c r="B70" s="15" t="s">
        <v>57</v>
      </c>
      <c r="C70" s="33" t="s">
        <v>258</v>
      </c>
      <c r="D70" s="33" t="s">
        <v>61</v>
      </c>
      <c r="E70" s="33" t="s">
        <v>390</v>
      </c>
      <c r="F70" s="33" t="s">
        <v>31</v>
      </c>
      <c r="G70" s="33">
        <v>54000</v>
      </c>
      <c r="H70" s="63">
        <v>0.46666666666666662</v>
      </c>
      <c r="I70" s="63">
        <v>0.55555555555555558</v>
      </c>
      <c r="J70" s="30">
        <f t="shared" si="2"/>
        <v>8.8888888888888962E-2</v>
      </c>
      <c r="K70" s="30" t="str">
        <f t="shared" si="3"/>
        <v>Failed</v>
      </c>
      <c r="L7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x6</v>
      </c>
      <c r="M70" s="31" t="s">
        <v>354</v>
      </c>
    </row>
    <row r="71" spans="1:28" s="3" customFormat="1">
      <c r="A71" s="15">
        <v>66</v>
      </c>
      <c r="B71" s="15" t="s">
        <v>57</v>
      </c>
      <c r="C71" s="33" t="s">
        <v>164</v>
      </c>
      <c r="D71" s="33" t="s">
        <v>130</v>
      </c>
      <c r="E71" s="33" t="s">
        <v>148</v>
      </c>
      <c r="F71" s="33" t="s">
        <v>31</v>
      </c>
      <c r="G71" s="33">
        <v>45000</v>
      </c>
      <c r="H71" s="63">
        <v>0.47638888888888892</v>
      </c>
      <c r="I71" s="63">
        <v>0.55555555555555558</v>
      </c>
      <c r="J71" s="30">
        <f t="shared" si="2"/>
        <v>7.9166666666666663E-2</v>
      </c>
      <c r="K71" s="30" t="str">
        <f t="shared" si="3"/>
        <v>Failed</v>
      </c>
      <c r="L7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71" s="31" t="s">
        <v>354</v>
      </c>
    </row>
    <row r="72" spans="1:28" s="3" customFormat="1">
      <c r="A72" s="15">
        <v>67</v>
      </c>
      <c r="B72" s="15" t="s">
        <v>57</v>
      </c>
      <c r="C72" s="33" t="s">
        <v>407</v>
      </c>
      <c r="D72" s="33" t="s">
        <v>130</v>
      </c>
      <c r="E72" s="33" t="s">
        <v>148</v>
      </c>
      <c r="F72" s="33" t="s">
        <v>24</v>
      </c>
      <c r="G72" s="33">
        <v>36000</v>
      </c>
      <c r="H72" s="63">
        <v>0.47569444444444442</v>
      </c>
      <c r="I72" s="63">
        <v>0.52777777777777779</v>
      </c>
      <c r="J72" s="30">
        <f t="shared" si="2"/>
        <v>5.208333333333337E-2</v>
      </c>
      <c r="K72" s="30" t="str">
        <f t="shared" si="3"/>
        <v>No Remarks</v>
      </c>
      <c r="L7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72" s="62"/>
    </row>
    <row r="73" spans="1:28" s="3" customFormat="1">
      <c r="A73" s="15">
        <v>68</v>
      </c>
      <c r="B73" s="15" t="s">
        <v>57</v>
      </c>
      <c r="C73" s="33" t="s">
        <v>245</v>
      </c>
      <c r="D73" s="33" t="s">
        <v>130</v>
      </c>
      <c r="E73" s="33" t="s">
        <v>148</v>
      </c>
      <c r="F73" s="33" t="s">
        <v>24</v>
      </c>
      <c r="G73" s="33">
        <v>27000</v>
      </c>
      <c r="H73" s="63">
        <v>0.4909722222222222</v>
      </c>
      <c r="I73" s="63">
        <v>0.55138888888888882</v>
      </c>
      <c r="J73" s="30">
        <f t="shared" si="2"/>
        <v>6.0416666666666619E-2</v>
      </c>
      <c r="K73" s="30" t="str">
        <f t="shared" si="3"/>
        <v>No Remarks</v>
      </c>
      <c r="L7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73" s="62"/>
    </row>
    <row r="74" spans="1:28" s="3" customFormat="1">
      <c r="A74" s="15">
        <v>69</v>
      </c>
      <c r="B74" s="15" t="s">
        <v>57</v>
      </c>
      <c r="C74" s="33" t="s">
        <v>67</v>
      </c>
      <c r="D74" s="33" t="s">
        <v>61</v>
      </c>
      <c r="E74" s="33" t="s">
        <v>390</v>
      </c>
      <c r="F74" s="33" t="s">
        <v>31</v>
      </c>
      <c r="G74" s="33">
        <v>54000</v>
      </c>
      <c r="H74" s="63">
        <v>0.44722222222222219</v>
      </c>
      <c r="I74" s="63">
        <v>0.52847222222222223</v>
      </c>
      <c r="J74" s="30">
        <f t="shared" si="2"/>
        <v>8.1250000000000044E-2</v>
      </c>
      <c r="K74" s="30" t="str">
        <f t="shared" si="3"/>
        <v>Failed</v>
      </c>
      <c r="L7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74" s="31" t="s">
        <v>354</v>
      </c>
    </row>
    <row r="75" spans="1:28" s="3" customFormat="1">
      <c r="A75" s="15">
        <v>70</v>
      </c>
      <c r="B75" s="15" t="s">
        <v>57</v>
      </c>
      <c r="C75" s="33" t="s">
        <v>395</v>
      </c>
      <c r="D75" s="33" t="s">
        <v>130</v>
      </c>
      <c r="E75" s="33" t="s">
        <v>148</v>
      </c>
      <c r="F75" s="33" t="s">
        <v>24</v>
      </c>
      <c r="G75" s="33">
        <v>36000</v>
      </c>
      <c r="H75" s="63">
        <v>0.46388888888888885</v>
      </c>
      <c r="I75" s="63">
        <v>0.52430555555555558</v>
      </c>
      <c r="J75" s="30">
        <f t="shared" si="2"/>
        <v>6.041666666666673E-2</v>
      </c>
      <c r="K75" s="30" t="str">
        <f t="shared" si="3"/>
        <v>No Remarks</v>
      </c>
      <c r="L7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75" s="62"/>
    </row>
    <row r="76" spans="1:28">
      <c r="A76" s="15">
        <v>71</v>
      </c>
      <c r="B76" s="15" t="s">
        <v>57</v>
      </c>
      <c r="C76" s="33" t="s">
        <v>339</v>
      </c>
      <c r="D76" s="33" t="s">
        <v>61</v>
      </c>
      <c r="E76" s="33" t="s">
        <v>390</v>
      </c>
      <c r="F76" s="33" t="s">
        <v>31</v>
      </c>
      <c r="G76" s="33">
        <v>54000</v>
      </c>
      <c r="H76" s="63">
        <v>0.46597222222222223</v>
      </c>
      <c r="I76" s="63">
        <v>0.52569444444444446</v>
      </c>
      <c r="J76" s="30">
        <f t="shared" si="2"/>
        <v>5.9722222222222232E-2</v>
      </c>
      <c r="K76" s="30" t="str">
        <f t="shared" si="3"/>
        <v>Passed</v>
      </c>
      <c r="L7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76" s="62"/>
    </row>
    <row r="77" spans="1:28">
      <c r="A77" s="15">
        <v>72</v>
      </c>
      <c r="B77" s="15" t="s">
        <v>57</v>
      </c>
      <c r="C77" s="33" t="s">
        <v>131</v>
      </c>
      <c r="D77" s="33" t="s">
        <v>130</v>
      </c>
      <c r="E77" s="33" t="s">
        <v>148</v>
      </c>
      <c r="F77" s="33" t="s">
        <v>24</v>
      </c>
      <c r="G77" s="33">
        <v>54000</v>
      </c>
      <c r="H77" s="63">
        <v>0.45902777777777781</v>
      </c>
      <c r="I77" s="63">
        <v>0.53125</v>
      </c>
      <c r="J77" s="30">
        <f t="shared" si="2"/>
        <v>7.2222222222222188E-2</v>
      </c>
      <c r="K77" s="30" t="str">
        <f t="shared" si="3"/>
        <v>Passed</v>
      </c>
      <c r="L7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77" s="62"/>
    </row>
    <row r="78" spans="1:28">
      <c r="A78" s="15">
        <v>73</v>
      </c>
      <c r="B78" s="15" t="s">
        <v>57</v>
      </c>
      <c r="C78" s="33" t="s">
        <v>275</v>
      </c>
      <c r="D78" s="33" t="s">
        <v>130</v>
      </c>
      <c r="E78" s="33" t="s">
        <v>148</v>
      </c>
      <c r="F78" s="33" t="s">
        <v>24</v>
      </c>
      <c r="G78" s="33">
        <v>31500</v>
      </c>
      <c r="H78" s="63">
        <v>0.46458333333333335</v>
      </c>
      <c r="I78" s="63">
        <v>0.51874999999999993</v>
      </c>
      <c r="J78" s="30">
        <f t="shared" si="2"/>
        <v>5.4166666666666585E-2</v>
      </c>
      <c r="K78" s="30" t="str">
        <f t="shared" si="3"/>
        <v>No Remarks</v>
      </c>
      <c r="L7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78" s="62"/>
    </row>
    <row r="79" spans="1:28">
      <c r="A79" s="15">
        <v>74</v>
      </c>
      <c r="B79" s="15" t="s">
        <v>57</v>
      </c>
      <c r="C79" s="33" t="s">
        <v>247</v>
      </c>
      <c r="D79" s="33" t="s">
        <v>130</v>
      </c>
      <c r="E79" s="33" t="s">
        <v>148</v>
      </c>
      <c r="F79" s="33" t="s">
        <v>24</v>
      </c>
      <c r="G79" s="33">
        <v>31500</v>
      </c>
      <c r="H79" s="63">
        <v>0.44027777777777777</v>
      </c>
      <c r="I79" s="63">
        <v>0.51388888888888895</v>
      </c>
      <c r="J79" s="30">
        <f t="shared" si="2"/>
        <v>7.3611111111111183E-2</v>
      </c>
      <c r="K79" s="30" t="str">
        <f t="shared" si="3"/>
        <v>No Remarks</v>
      </c>
      <c r="L7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79" s="62"/>
    </row>
    <row r="80" spans="1:28">
      <c r="A80" s="15">
        <v>75</v>
      </c>
      <c r="B80" s="15" t="s">
        <v>57</v>
      </c>
      <c r="C80" s="33" t="s">
        <v>406</v>
      </c>
      <c r="D80" s="33" t="s">
        <v>130</v>
      </c>
      <c r="E80" s="33" t="s">
        <v>148</v>
      </c>
      <c r="F80" s="33" t="s">
        <v>24</v>
      </c>
      <c r="G80" s="33">
        <v>45000</v>
      </c>
      <c r="H80" s="63">
        <v>0.45833333333333331</v>
      </c>
      <c r="I80" s="63">
        <v>0.52152777777777781</v>
      </c>
      <c r="J80" s="30">
        <f t="shared" ref="J80:J95" si="4">I80-H80</f>
        <v>6.3194444444444497E-2</v>
      </c>
      <c r="K80" s="30" t="str">
        <f t="shared" ref="K80:K95" si="5">IF(G80&lt;$H$3,"No Remarks",IF(AND(G80&gt;=$H$3,J80&lt;=$D$3),"Passed","Failed"))</f>
        <v>Passed</v>
      </c>
      <c r="L8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80" s="62"/>
    </row>
    <row r="81" spans="1:13">
      <c r="A81" s="15">
        <v>76</v>
      </c>
      <c r="B81" s="15" t="s">
        <v>57</v>
      </c>
      <c r="C81" s="33" t="s">
        <v>243</v>
      </c>
      <c r="D81" s="33" t="s">
        <v>61</v>
      </c>
      <c r="E81" s="33" t="s">
        <v>390</v>
      </c>
      <c r="F81" s="33" t="s">
        <v>31</v>
      </c>
      <c r="G81" s="33">
        <v>54000</v>
      </c>
      <c r="H81" s="63">
        <v>0.4465277777777778</v>
      </c>
      <c r="I81" s="63">
        <v>0.50763888888888886</v>
      </c>
      <c r="J81" s="30">
        <f t="shared" si="4"/>
        <v>6.1111111111111061E-2</v>
      </c>
      <c r="K81" s="30" t="str">
        <f t="shared" si="5"/>
        <v>Passed</v>
      </c>
      <c r="L8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81" s="62"/>
    </row>
    <row r="82" spans="1:13">
      <c r="A82" s="15">
        <v>77</v>
      </c>
      <c r="B82" s="15" t="s">
        <v>57</v>
      </c>
      <c r="C82" s="33" t="s">
        <v>65</v>
      </c>
      <c r="D82" s="33" t="s">
        <v>393</v>
      </c>
      <c r="E82" s="33" t="s">
        <v>66</v>
      </c>
      <c r="F82" s="33" t="s">
        <v>24</v>
      </c>
      <c r="G82" s="33">
        <v>13500</v>
      </c>
      <c r="H82" s="63">
        <v>0.45902777777777781</v>
      </c>
      <c r="I82" s="63">
        <v>0.50902777777777775</v>
      </c>
      <c r="J82" s="30">
        <f t="shared" si="4"/>
        <v>4.9999999999999933E-2</v>
      </c>
      <c r="K82" s="30" t="str">
        <f t="shared" si="5"/>
        <v>No Remarks</v>
      </c>
      <c r="L8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82" s="62"/>
    </row>
    <row r="83" spans="1:13">
      <c r="A83" s="15">
        <v>78</v>
      </c>
      <c r="B83" s="15" t="s">
        <v>57</v>
      </c>
      <c r="C83" s="33" t="s">
        <v>331</v>
      </c>
      <c r="D83" s="33" t="s">
        <v>130</v>
      </c>
      <c r="E83" s="33" t="s">
        <v>148</v>
      </c>
      <c r="F83" s="33" t="s">
        <v>24</v>
      </c>
      <c r="G83" s="33">
        <v>31500</v>
      </c>
      <c r="H83" s="63">
        <v>0.44097222222222227</v>
      </c>
      <c r="I83" s="63">
        <v>0.5131944444444444</v>
      </c>
      <c r="J83" s="30">
        <f t="shared" si="4"/>
        <v>7.2222222222222132E-2</v>
      </c>
      <c r="K83" s="30" t="str">
        <f t="shared" si="5"/>
        <v>No Remarks</v>
      </c>
      <c r="L8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83" s="62"/>
    </row>
    <row r="84" spans="1:13">
      <c r="A84" s="15">
        <v>79</v>
      </c>
      <c r="B84" s="15" t="s">
        <v>57</v>
      </c>
      <c r="C84" s="33" t="s">
        <v>398</v>
      </c>
      <c r="D84" s="33" t="s">
        <v>130</v>
      </c>
      <c r="E84" s="33" t="s">
        <v>148</v>
      </c>
      <c r="F84" s="33" t="s">
        <v>31</v>
      </c>
      <c r="G84" s="33">
        <v>13500</v>
      </c>
      <c r="H84" s="63">
        <v>0.46527777777777773</v>
      </c>
      <c r="I84" s="63">
        <v>0.5180555555555556</v>
      </c>
      <c r="J84" s="30">
        <f t="shared" si="4"/>
        <v>5.2777777777777868E-2</v>
      </c>
      <c r="K84" s="30" t="str">
        <f t="shared" si="5"/>
        <v>No Remarks</v>
      </c>
      <c r="L8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84" s="62"/>
    </row>
    <row r="85" spans="1:13">
      <c r="A85" s="15">
        <v>80</v>
      </c>
      <c r="B85" s="15" t="s">
        <v>57</v>
      </c>
      <c r="C85" s="33" t="s">
        <v>132</v>
      </c>
      <c r="D85" s="33" t="s">
        <v>61</v>
      </c>
      <c r="E85" s="33" t="s">
        <v>390</v>
      </c>
      <c r="F85" s="33" t="s">
        <v>31</v>
      </c>
      <c r="G85" s="33">
        <v>54000</v>
      </c>
      <c r="H85" s="63">
        <v>0.44375000000000003</v>
      </c>
      <c r="I85" s="63">
        <v>0.49652777777777773</v>
      </c>
      <c r="J85" s="30">
        <f t="shared" si="4"/>
        <v>5.2777777777777701E-2</v>
      </c>
      <c r="K85" s="30" t="str">
        <f t="shared" si="5"/>
        <v>Passed</v>
      </c>
      <c r="L8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85" s="62"/>
    </row>
    <row r="86" spans="1:13">
      <c r="A86" s="15">
        <v>81</v>
      </c>
      <c r="B86" s="15" t="s">
        <v>57</v>
      </c>
      <c r="C86" s="33" t="s">
        <v>147</v>
      </c>
      <c r="D86" s="33" t="s">
        <v>130</v>
      </c>
      <c r="E86" s="33" t="s">
        <v>148</v>
      </c>
      <c r="F86" s="33" t="s">
        <v>24</v>
      </c>
      <c r="G86" s="33">
        <v>27000</v>
      </c>
      <c r="H86" s="63">
        <v>0.44236111111111115</v>
      </c>
      <c r="I86" s="63">
        <v>0.49791666666666662</v>
      </c>
      <c r="J86" s="30">
        <f t="shared" si="4"/>
        <v>5.5555555555555469E-2</v>
      </c>
      <c r="K86" s="30" t="str">
        <f t="shared" si="5"/>
        <v>No Remarks</v>
      </c>
      <c r="L86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86" s="62"/>
    </row>
    <row r="87" spans="1:13">
      <c r="A87" s="15">
        <v>82</v>
      </c>
      <c r="B87" s="15" t="s">
        <v>57</v>
      </c>
      <c r="C87" s="33" t="s">
        <v>493</v>
      </c>
      <c r="D87" s="33" t="s">
        <v>346</v>
      </c>
      <c r="E87" s="33" t="s">
        <v>71</v>
      </c>
      <c r="F87" s="33" t="s">
        <v>31</v>
      </c>
      <c r="G87" s="33">
        <v>13500</v>
      </c>
      <c r="H87" s="63">
        <v>0.44722222222222219</v>
      </c>
      <c r="I87" s="63">
        <v>0.49861111111111112</v>
      </c>
      <c r="J87" s="30">
        <f t="shared" si="4"/>
        <v>5.1388888888888928E-2</v>
      </c>
      <c r="K87" s="30" t="str">
        <f t="shared" si="5"/>
        <v>No Remarks</v>
      </c>
      <c r="L87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87" s="62"/>
    </row>
    <row r="88" spans="1:13" customFormat="1">
      <c r="A88" s="15">
        <v>83</v>
      </c>
      <c r="B88" s="15" t="s">
        <v>57</v>
      </c>
      <c r="C88" s="33" t="s">
        <v>263</v>
      </c>
      <c r="D88" s="33" t="s">
        <v>130</v>
      </c>
      <c r="E88" s="33" t="s">
        <v>148</v>
      </c>
      <c r="F88" s="33" t="s">
        <v>24</v>
      </c>
      <c r="G88" s="33">
        <v>13500</v>
      </c>
      <c r="H88" s="63">
        <v>0.43958333333333338</v>
      </c>
      <c r="I88" s="63">
        <v>0.49513888888888885</v>
      </c>
      <c r="J88" s="30">
        <f t="shared" si="4"/>
        <v>5.5555555555555469E-2</v>
      </c>
      <c r="K88" s="30" t="str">
        <f t="shared" si="5"/>
        <v>No Remarks</v>
      </c>
      <c r="L88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88" s="62"/>
    </row>
    <row r="89" spans="1:13">
      <c r="A89" s="15">
        <v>84</v>
      </c>
      <c r="B89" s="15" t="s">
        <v>57</v>
      </c>
      <c r="C89" s="33" t="s">
        <v>139</v>
      </c>
      <c r="D89" s="33" t="s">
        <v>130</v>
      </c>
      <c r="E89" s="33" t="s">
        <v>148</v>
      </c>
      <c r="F89" s="33" t="s">
        <v>31</v>
      </c>
      <c r="G89" s="33">
        <v>45000</v>
      </c>
      <c r="H89" s="63">
        <v>0.4069444444444445</v>
      </c>
      <c r="I89" s="63">
        <v>0.51944444444444449</v>
      </c>
      <c r="J89" s="30">
        <f t="shared" si="4"/>
        <v>0.11249999999999999</v>
      </c>
      <c r="K89" s="30" t="str">
        <f t="shared" si="5"/>
        <v>Failed</v>
      </c>
      <c r="L89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x8</v>
      </c>
      <c r="M89" s="31" t="s">
        <v>354</v>
      </c>
    </row>
    <row r="90" spans="1:13">
      <c r="A90" s="15">
        <v>85</v>
      </c>
      <c r="B90" s="15" t="s">
        <v>57</v>
      </c>
      <c r="C90" s="33" t="s">
        <v>115</v>
      </c>
      <c r="D90" s="33" t="s">
        <v>346</v>
      </c>
      <c r="E90" s="33" t="s">
        <v>71</v>
      </c>
      <c r="F90" s="33" t="s">
        <v>31</v>
      </c>
      <c r="G90" s="33">
        <v>36000</v>
      </c>
      <c r="H90" s="63">
        <v>0.40763888888888888</v>
      </c>
      <c r="I90" s="63">
        <v>0.48125000000000001</v>
      </c>
      <c r="J90" s="30">
        <f t="shared" si="4"/>
        <v>7.3611111111111127E-2</v>
      </c>
      <c r="K90" s="30" t="str">
        <f t="shared" si="5"/>
        <v>No Remarks</v>
      </c>
      <c r="L90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x5</v>
      </c>
      <c r="M90" s="62"/>
    </row>
    <row r="91" spans="1:13" s="1" customFormat="1">
      <c r="A91" s="15">
        <v>86</v>
      </c>
      <c r="B91" s="15" t="s">
        <v>57</v>
      </c>
      <c r="C91" s="33" t="s">
        <v>479</v>
      </c>
      <c r="D91" s="33" t="s">
        <v>130</v>
      </c>
      <c r="E91" s="33" t="s">
        <v>148</v>
      </c>
      <c r="F91" s="33" t="s">
        <v>24</v>
      </c>
      <c r="G91" s="33">
        <v>36000</v>
      </c>
      <c r="H91" s="63">
        <v>0.4381944444444445</v>
      </c>
      <c r="I91" s="63">
        <v>0.48958333333333331</v>
      </c>
      <c r="J91" s="30">
        <f t="shared" si="4"/>
        <v>5.1388888888888817E-2</v>
      </c>
      <c r="K91" s="30" t="str">
        <f t="shared" si="5"/>
        <v>No Remarks</v>
      </c>
      <c r="L91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x2</v>
      </c>
      <c r="M91" s="62"/>
    </row>
    <row r="92" spans="1:13">
      <c r="A92" s="15">
        <v>87</v>
      </c>
      <c r="B92" s="15" t="s">
        <v>57</v>
      </c>
      <c r="C92" s="33" t="s">
        <v>254</v>
      </c>
      <c r="D92" s="33" t="s">
        <v>130</v>
      </c>
      <c r="E92" s="33" t="s">
        <v>148</v>
      </c>
      <c r="F92" s="33" t="s">
        <v>31</v>
      </c>
      <c r="G92" s="33">
        <v>13500</v>
      </c>
      <c r="H92" s="63">
        <v>0.44444444444444442</v>
      </c>
      <c r="I92" s="63">
        <v>0.47916666666666669</v>
      </c>
      <c r="J92" s="30">
        <f t="shared" si="4"/>
        <v>3.4722222222222265E-2</v>
      </c>
      <c r="K92" s="30" t="str">
        <f t="shared" si="5"/>
        <v>No Remarks</v>
      </c>
      <c r="L92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x1</v>
      </c>
      <c r="M92" s="62"/>
    </row>
    <row r="93" spans="1:13">
      <c r="A93" s="15">
        <v>88</v>
      </c>
      <c r="B93" s="15" t="s">
        <v>57</v>
      </c>
      <c r="C93" s="33" t="s">
        <v>399</v>
      </c>
      <c r="D93" s="33" t="s">
        <v>130</v>
      </c>
      <c r="E93" s="33" t="s">
        <v>426</v>
      </c>
      <c r="F93" s="33" t="s">
        <v>31</v>
      </c>
      <c r="G93" s="33">
        <v>36000</v>
      </c>
      <c r="H93" s="63">
        <v>0.40625</v>
      </c>
      <c r="I93" s="63">
        <v>0.47569444444444442</v>
      </c>
      <c r="J93" s="30">
        <f t="shared" si="4"/>
        <v>6.944444444444442E-2</v>
      </c>
      <c r="K93" s="30" t="str">
        <f t="shared" si="5"/>
        <v>No Remarks</v>
      </c>
      <c r="L93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x4</v>
      </c>
      <c r="M93" s="62"/>
    </row>
    <row r="94" spans="1:13">
      <c r="A94" s="15">
        <v>89</v>
      </c>
      <c r="B94" s="15" t="s">
        <v>57</v>
      </c>
      <c r="C94" s="33" t="s">
        <v>287</v>
      </c>
      <c r="D94" s="33" t="s">
        <v>346</v>
      </c>
      <c r="E94" s="33" t="s">
        <v>71</v>
      </c>
      <c r="F94" s="33" t="s">
        <v>31</v>
      </c>
      <c r="G94" s="33">
        <v>27000</v>
      </c>
      <c r="H94" s="63">
        <v>0.40902777777777777</v>
      </c>
      <c r="I94" s="63">
        <v>0.46875</v>
      </c>
      <c r="J94" s="30">
        <f t="shared" si="4"/>
        <v>5.9722222222222232E-2</v>
      </c>
      <c r="K94" s="30" t="str">
        <f t="shared" si="5"/>
        <v>No Remarks</v>
      </c>
      <c r="L94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94" s="62"/>
    </row>
    <row r="95" spans="1:13">
      <c r="A95" s="15">
        <v>90</v>
      </c>
      <c r="B95" s="15" t="s">
        <v>57</v>
      </c>
      <c r="C95" s="33" t="s">
        <v>440</v>
      </c>
      <c r="D95" s="33" t="s">
        <v>346</v>
      </c>
      <c r="E95" s="33" t="s">
        <v>71</v>
      </c>
      <c r="F95" s="33" t="s">
        <v>31</v>
      </c>
      <c r="G95" s="33">
        <v>13500</v>
      </c>
      <c r="H95" s="63">
        <v>0.40972222222222227</v>
      </c>
      <c r="I95" s="63">
        <v>0.4694444444444445</v>
      </c>
      <c r="J95" s="30">
        <f t="shared" si="4"/>
        <v>5.9722222222222232E-2</v>
      </c>
      <c r="K95" s="30" t="str">
        <f t="shared" si="5"/>
        <v>No Remarks</v>
      </c>
      <c r="L95" s="30" t="str">
        <f>IF(AND(April28_2023244[[#This Row],[TAT ]]&gt;=TIMEVALUE("0:00:00"),April28_2023244[[#This Row],[TAT ]]&lt;TIMEVALUE("1:00:00")),"x1",IF(AND(April28_2023244[[#This Row],[TAT ]]&gt;=TIMEVALUE("1:00:00"),April28_2023244[[#This Row],[TAT ]]&lt;TIMEVALUE("1:15:00")),"x2",IF(AND(April28_2023244[[#This Row],[TAT ]]&gt;=TIMEVALUE("1:15:00"),April28_2023244[[#This Row],[TAT ]]&lt;TIMEVALUE("1:30:00")),"x3",IF(AND(April28_2023244[[#This Row],[TAT ]]&gt;=TIMEVALUE("1:30:00"),April28_2023244[[#This Row],[TAT ]]&lt;TIMEVALUE("1:45:00")),"x4",IF(AND(April28_2023244[[#This Row],[TAT ]]&gt;=TIMEVALUE("1:45:00"),April28_2023244[[#This Row],[TAT ]]&lt;TIMEVALUE("2:00:00")),"x5",IF(AND(April28_2023244[[#This Row],[TAT ]]&gt;=TIMEVALUE("2:00:00"),April28_2023244[[#This Row],[TAT ]]&lt;TIMEVALUE("2:15:00")),"x6",IF(AND(April28_2023244[[#This Row],[TAT ]]&gt;=TIMEVALUE("2:15:00"),April28_2023244[[#This Row],[TAT ]]&lt;TIMEVALUE("2:30:00")),"x7",IF(AND(April28_2023244[[#This Row],[TAT ]]&gt;=TIMEVALUE("2:30:00"),April28_2023244[[#This Row],[TAT ]]&lt;TIMEVALUE("2:45:00")),"x8",IF(AND(April28_2023244[[#This Row],[TAT ]]&gt;=TIMEVALUE("2:45:00"),April28_2023244[[#This Row],[TAT ]]&lt;TIMEVALUE("3:00:00")),"x9","x10")))))))))</f>
        <v>x3</v>
      </c>
      <c r="M95" s="62"/>
    </row>
    <row r="96" spans="1:13" ht="18">
      <c r="A96" s="58"/>
      <c r="B96" s="58" t="s">
        <v>271</v>
      </c>
      <c r="C96" s="59"/>
      <c r="D96" s="59"/>
      <c r="E96" s="59"/>
      <c r="F96" s="59"/>
      <c r="G96" s="59"/>
      <c r="H96" s="60"/>
      <c r="I96" s="60"/>
      <c r="J96" s="61">
        <f>SUBTOTAL(101,April28_2023244[[TAT ]])</f>
        <v>6.4228395061728366E-2</v>
      </c>
      <c r="K96" s="53"/>
      <c r="L96" s="56"/>
      <c r="M96" s="53"/>
    </row>
    <row r="97" spans="15:21">
      <c r="O97" s="48"/>
    </row>
    <row r="98" spans="15:21">
      <c r="O98" s="49"/>
    </row>
    <row r="99" spans="15:21">
      <c r="O99" s="48"/>
      <c r="P99" s="49"/>
      <c r="Q99" s="49"/>
      <c r="R99" s="49"/>
      <c r="S99" s="49"/>
      <c r="T99" s="49"/>
      <c r="U99" s="49"/>
    </row>
    <row r="100" spans="15:21">
      <c r="O100" s="49"/>
      <c r="P100" s="49"/>
      <c r="Q100" s="49"/>
      <c r="R100" s="49"/>
      <c r="S100" s="49"/>
      <c r="T100" s="49"/>
      <c r="U100" s="49"/>
    </row>
    <row r="107" spans="15:21">
      <c r="O107" s="48" t="s">
        <v>326</v>
      </c>
    </row>
    <row r="108" spans="15:21">
      <c r="O108" s="49"/>
      <c r="P108" s="49"/>
      <c r="Q108" s="49"/>
      <c r="R108" s="49"/>
      <c r="S108" s="49"/>
      <c r="T108" s="49"/>
    </row>
    <row r="109" spans="15:21">
      <c r="O109" s="57"/>
    </row>
    <row r="187" spans="21:22">
      <c r="U187" s="52"/>
      <c r="V187" s="52"/>
    </row>
    <row r="188" spans="21:22">
      <c r="V188" s="52"/>
    </row>
  </sheetData>
  <dataValidations count="2">
    <dataValidation allowBlank="1" showInputMessage="1" showErrorMessage="1" promptTitle="Caution" prompt="Try NOT to ALTER this cell" sqref="J6:L95" xr:uid="{DD5C86DD-0CDD-4C43-8E1D-8B3C3BD07B87}"/>
    <dataValidation type="list" allowBlank="1" showInputMessage="1" showErrorMessage="1" sqref="M6:M95" xr:uid="{3780EBDB-5258-46F5-914D-F63802350310}">
      <formula1>$O$62:$AA$62</formula1>
    </dataValidation>
  </dataValidations>
  <pageMargins left="0.7" right="0.7" top="0.75" bottom="0.75" header="0.3" footer="0.3"/>
  <pageSetup scale="20" fitToHeight="3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8758-323F-47C1-B716-AE5E745EEB16}">
  <sheetPr>
    <pageSetUpPr fitToPage="1"/>
  </sheetPr>
  <dimension ref="A1:AB188"/>
  <sheetViews>
    <sheetView tabSelected="1" topLeftCell="A81" zoomScale="89" zoomScaleNormal="89" zoomScaleSheetLayoutView="33" workbookViewId="0">
      <selection activeCell="C1" sqref="C1"/>
    </sheetView>
  </sheetViews>
  <sheetFormatPr defaultColWidth="8.86328125" defaultRowHeight="14.25"/>
  <cols>
    <col min="1" max="1" width="9.1328125" style="4" customWidth="1"/>
    <col min="2" max="2" width="18" style="4" customWidth="1"/>
    <col min="3" max="3" width="41.1328125" style="4" customWidth="1"/>
    <col min="4" max="4" width="43.46484375" style="4" customWidth="1"/>
    <col min="5" max="5" width="37.53125" style="4" customWidth="1"/>
    <col min="6" max="6" width="19.53125" style="4" customWidth="1"/>
    <col min="7" max="7" width="22.1328125" style="4" customWidth="1"/>
    <col min="8" max="8" width="17.86328125" style="4" customWidth="1"/>
    <col min="9" max="9" width="18.1328125" style="4" customWidth="1"/>
    <col min="10" max="10" width="23.53125" style="4" customWidth="1"/>
    <col min="11" max="11" width="15.86328125" style="4" customWidth="1"/>
    <col min="12" max="13" width="12.1328125" style="4" customWidth="1"/>
    <col min="14" max="14" width="4.1328125" style="4" customWidth="1"/>
    <col min="15" max="15" width="19.1328125" style="4" customWidth="1"/>
    <col min="16" max="16" width="19.86328125" style="4" customWidth="1"/>
    <col min="17" max="17" width="20.1328125" style="4" customWidth="1"/>
    <col min="18" max="18" width="19.33203125" style="4" customWidth="1"/>
    <col min="19" max="19" width="17.53125" style="4" customWidth="1"/>
    <col min="20" max="20" width="21.1328125" style="4" customWidth="1"/>
    <col min="21" max="21" width="22" style="4" customWidth="1"/>
    <col min="22" max="22" width="29.46484375" style="4" customWidth="1"/>
    <col min="23" max="23" width="20.86328125" style="4" customWidth="1"/>
    <col min="24" max="24" width="32.53125" style="4" customWidth="1"/>
    <col min="25" max="25" width="16.53125" style="4" customWidth="1"/>
    <col min="26" max="26" width="16.86328125" style="4" customWidth="1"/>
    <col min="27" max="27" width="21.1328125" style="4" customWidth="1"/>
    <col min="28" max="28" width="21.86328125" style="4" customWidth="1"/>
    <col min="29" max="16384" width="8.86328125" style="4"/>
  </cols>
  <sheetData>
    <row r="1" spans="1:20" ht="18">
      <c r="B1" s="5"/>
      <c r="C1" s="6" t="s">
        <v>0</v>
      </c>
      <c r="D1" s="6"/>
      <c r="E1" s="6"/>
      <c r="F1" s="5"/>
      <c r="G1" s="5"/>
      <c r="H1" s="7"/>
      <c r="I1" s="18"/>
      <c r="J1" s="19" t="s">
        <v>1</v>
      </c>
      <c r="K1" s="20"/>
      <c r="L1" s="18"/>
      <c r="M1" s="18"/>
      <c r="N1" s="18"/>
      <c r="O1" s="18"/>
    </row>
    <row r="2" spans="1:20" ht="18">
      <c r="B2" s="6" t="s">
        <v>2</v>
      </c>
      <c r="C2" s="8">
        <v>45049</v>
      </c>
      <c r="D2" s="5"/>
      <c r="E2" s="5"/>
      <c r="F2" s="6" t="s">
        <v>3</v>
      </c>
      <c r="G2" s="120" t="s">
        <v>4</v>
      </c>
      <c r="H2" s="5"/>
      <c r="I2" s="21"/>
      <c r="J2" s="22"/>
      <c r="K2" s="23"/>
      <c r="L2" s="23"/>
      <c r="M2" s="23"/>
      <c r="Q2" s="39"/>
    </row>
    <row r="3" spans="1:20" ht="18">
      <c r="B3" s="5"/>
      <c r="C3" s="9" t="s">
        <v>5</v>
      </c>
      <c r="D3" s="10">
        <v>7.2916666666666699E-2</v>
      </c>
      <c r="E3" s="11"/>
      <c r="F3" s="5"/>
      <c r="G3" s="9" t="s">
        <v>6</v>
      </c>
      <c r="H3" s="12">
        <v>45000</v>
      </c>
      <c r="K3" s="24"/>
      <c r="L3" s="24"/>
      <c r="M3" s="24"/>
      <c r="N3" s="24"/>
      <c r="O3" s="24"/>
    </row>
    <row r="4" spans="1:20" ht="18">
      <c r="B4" s="5"/>
      <c r="C4" s="5"/>
      <c r="D4" s="5"/>
      <c r="E4" s="5"/>
      <c r="F4" s="5"/>
      <c r="G4" s="5"/>
      <c r="H4" s="5"/>
      <c r="O4" s="25" t="s">
        <v>350</v>
      </c>
    </row>
    <row r="5" spans="1:20" ht="18">
      <c r="A5" s="13" t="s">
        <v>7</v>
      </c>
      <c r="B5" s="14" t="s">
        <v>8</v>
      </c>
      <c r="C5" s="14" t="s">
        <v>9</v>
      </c>
      <c r="D5" s="14" t="s">
        <v>10</v>
      </c>
      <c r="E5" s="14" t="s">
        <v>11</v>
      </c>
      <c r="F5" s="14" t="s">
        <v>12</v>
      </c>
      <c r="G5" s="14" t="s">
        <v>13</v>
      </c>
      <c r="H5" s="14" t="s">
        <v>14</v>
      </c>
      <c r="I5" s="26" t="s">
        <v>15</v>
      </c>
      <c r="J5" s="26" t="s">
        <v>16</v>
      </c>
      <c r="K5" s="26" t="s">
        <v>17</v>
      </c>
      <c r="L5" s="26" t="s">
        <v>300</v>
      </c>
      <c r="M5" s="27" t="s">
        <v>351</v>
      </c>
      <c r="N5" s="28"/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</row>
    <row r="6" spans="1:20">
      <c r="A6" s="15">
        <v>1</v>
      </c>
      <c r="B6" s="121" t="s">
        <v>23</v>
      </c>
      <c r="C6" s="122" t="s">
        <v>105</v>
      </c>
      <c r="D6" s="122" t="s">
        <v>463</v>
      </c>
      <c r="E6" s="122" t="s">
        <v>101</v>
      </c>
      <c r="F6" s="33" t="s">
        <v>24</v>
      </c>
      <c r="G6" s="33">
        <v>54000</v>
      </c>
      <c r="H6" s="16">
        <v>0.40416666666666662</v>
      </c>
      <c r="I6" s="54">
        <v>0.46180555555555558</v>
      </c>
      <c r="J6" s="30">
        <f t="shared" ref="J6:J69" si="0">I6-H6</f>
        <v>5.7638888888888962E-2</v>
      </c>
      <c r="K6" s="30" t="str">
        <f t="shared" ref="K6:K69" si="1">IF(G6&lt;$H$3,"No Remarks",IF(AND(G6&gt;=$H$3,J6&lt;=$D$3),"Passed","Failed"))</f>
        <v>Passed</v>
      </c>
      <c r="L6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6" s="31"/>
      <c r="N6" s="28" t="str">
        <f t="array" ref="N6">IF(OR(April28_20232442[[#This Row],[BRV '#]]='[1]BOST-KSI-1655369187'!$C$2:$C$40),"OKKo","")</f>
        <v/>
      </c>
      <c r="O6" s="32" t="s">
        <v>25</v>
      </c>
      <c r="P6" s="33">
        <f>COUNTIF(April28_20232442[REMARKS],O6)</f>
        <v>23</v>
      </c>
      <c r="Q6" s="40">
        <f>AVERAGEIF(April28_20232442[REMARKS],O6,April28_20232442[[TAT ]])</f>
        <v>6.0778985507246357E-2</v>
      </c>
      <c r="R6" s="40">
        <f>_xlfn.MINIFS(April28_20232442[[TAT ]],April28_20232442[CAPACITY],"&gt;=45000",April28_20232442[[TAT ]],"&lt;=1:45")</f>
        <v>3.8888888888888862E-2</v>
      </c>
      <c r="S6" s="40">
        <f>_xlfn.MAXIFS(April28_20232442[[TAT ]],April28_20232442[CAPACITY],"&gt;=1000",April28_20232442[[TAT ]],"&gt;0:45")</f>
        <v>0.11249999999999999</v>
      </c>
      <c r="T6" s="40">
        <f>S6-R6</f>
        <v>7.3611111111111127E-2</v>
      </c>
    </row>
    <row r="7" spans="1:20">
      <c r="A7" s="15">
        <v>2</v>
      </c>
      <c r="B7" s="121" t="s">
        <v>23</v>
      </c>
      <c r="C7" s="122" t="s">
        <v>44</v>
      </c>
      <c r="D7" s="122" t="s">
        <v>463</v>
      </c>
      <c r="E7" s="122" t="s">
        <v>42</v>
      </c>
      <c r="F7" s="33" t="s">
        <v>24</v>
      </c>
      <c r="G7" s="33">
        <v>54000</v>
      </c>
      <c r="H7" s="16">
        <v>0.4055555555555555</v>
      </c>
      <c r="I7" s="16">
        <v>0.46527777777777773</v>
      </c>
      <c r="J7" s="30">
        <f t="shared" si="0"/>
        <v>5.9722222222222232E-2</v>
      </c>
      <c r="K7" s="30" t="str">
        <f t="shared" si="1"/>
        <v>Passed</v>
      </c>
      <c r="L7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7" s="31"/>
      <c r="N7" s="28"/>
      <c r="O7" s="34" t="s">
        <v>27</v>
      </c>
      <c r="P7" s="33">
        <f>COUNTIF(April28_20232442[REMARKS],O7)</f>
        <v>17</v>
      </c>
      <c r="Q7" s="40">
        <f>IFERROR(AVERAGEIF(April28_20232442[REMARKS],O7,April28_20232442[[TAT ]]),"None")</f>
        <v>8.4109477124183013E-2</v>
      </c>
      <c r="R7" s="33"/>
      <c r="S7" s="33"/>
      <c r="T7" s="33"/>
    </row>
    <row r="8" spans="1:20">
      <c r="A8" s="15">
        <v>3</v>
      </c>
      <c r="B8" s="121" t="s">
        <v>23</v>
      </c>
      <c r="C8" s="122" t="s">
        <v>473</v>
      </c>
      <c r="D8" s="122" t="s">
        <v>463</v>
      </c>
      <c r="E8" s="122" t="s">
        <v>143</v>
      </c>
      <c r="F8" s="33" t="s">
        <v>24</v>
      </c>
      <c r="G8" s="33">
        <v>54000</v>
      </c>
      <c r="H8" s="16">
        <v>0.40486111111111112</v>
      </c>
      <c r="I8" s="16">
        <v>0.46875</v>
      </c>
      <c r="J8" s="30">
        <f t="shared" si="0"/>
        <v>6.3888888888888884E-2</v>
      </c>
      <c r="K8" s="30" t="str">
        <f t="shared" si="1"/>
        <v>Passed</v>
      </c>
      <c r="L8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8" s="31"/>
      <c r="N8" s="28"/>
      <c r="O8" s="33" t="s">
        <v>229</v>
      </c>
      <c r="P8" s="33">
        <f>COUNTIF(April28_20232442[REMARKS],O8)</f>
        <v>50</v>
      </c>
      <c r="Q8" s="33"/>
      <c r="R8" s="40"/>
      <c r="S8" s="33"/>
      <c r="T8" s="33"/>
    </row>
    <row r="9" spans="1:20">
      <c r="A9" s="15">
        <v>4</v>
      </c>
      <c r="B9" s="121" t="s">
        <v>57</v>
      </c>
      <c r="C9" s="122" t="s">
        <v>445</v>
      </c>
      <c r="D9" s="122" t="s">
        <v>396</v>
      </c>
      <c r="E9" s="122" t="s">
        <v>63</v>
      </c>
      <c r="F9" s="33" t="s">
        <v>31</v>
      </c>
      <c r="G9" s="33">
        <v>45000</v>
      </c>
      <c r="H9" s="16">
        <v>0.71388888888888891</v>
      </c>
      <c r="I9" s="16">
        <v>0.75277777777777777</v>
      </c>
      <c r="J9" s="30">
        <f t="shared" si="0"/>
        <v>3.8888888888888862E-2</v>
      </c>
      <c r="K9" s="30" t="str">
        <f t="shared" si="1"/>
        <v>Passed</v>
      </c>
      <c r="L9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x1</v>
      </c>
      <c r="M9" s="31"/>
      <c r="N9" s="28"/>
      <c r="O9" s="35" t="s">
        <v>28</v>
      </c>
      <c r="P9" s="35">
        <f>SUM(P6:P8)</f>
        <v>90</v>
      </c>
      <c r="Q9" s="41">
        <f>AVERAGE(Q6:Q7)</f>
        <v>7.2444231315714688E-2</v>
      </c>
      <c r="R9" s="33"/>
      <c r="S9" s="33"/>
      <c r="T9" s="33"/>
    </row>
    <row r="10" spans="1:20">
      <c r="A10" s="15">
        <v>5</v>
      </c>
      <c r="B10" s="121" t="s">
        <v>57</v>
      </c>
      <c r="C10" s="122" t="s">
        <v>488</v>
      </c>
      <c r="D10" s="122" t="s">
        <v>470</v>
      </c>
      <c r="E10" s="122" t="s">
        <v>454</v>
      </c>
      <c r="F10" s="33" t="s">
        <v>24</v>
      </c>
      <c r="G10" s="33">
        <v>13500</v>
      </c>
      <c r="H10" s="16">
        <v>0.70833333333333337</v>
      </c>
      <c r="I10" s="16">
        <v>0.73611111111111116</v>
      </c>
      <c r="J10" s="30">
        <f t="shared" si="0"/>
        <v>2.777777777777779E-2</v>
      </c>
      <c r="K10" s="30" t="str">
        <f t="shared" si="1"/>
        <v>No Remarks</v>
      </c>
      <c r="L10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x1</v>
      </c>
      <c r="M10" s="31"/>
    </row>
    <row r="11" spans="1:20">
      <c r="A11" s="15">
        <v>6</v>
      </c>
      <c r="B11" s="121" t="s">
        <v>57</v>
      </c>
      <c r="C11" s="122" t="s">
        <v>265</v>
      </c>
      <c r="D11" s="122" t="s">
        <v>346</v>
      </c>
      <c r="E11" s="122" t="s">
        <v>71</v>
      </c>
      <c r="F11" s="33" t="s">
        <v>31</v>
      </c>
      <c r="G11" s="33">
        <v>36000</v>
      </c>
      <c r="H11" s="16">
        <v>0.68402777777777779</v>
      </c>
      <c r="I11" s="16">
        <v>0.73263888888888884</v>
      </c>
      <c r="J11" s="30">
        <f t="shared" si="0"/>
        <v>4.8611111111111049E-2</v>
      </c>
      <c r="K11" s="30" t="str">
        <f t="shared" si="1"/>
        <v>No Remarks</v>
      </c>
      <c r="L11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x2</v>
      </c>
      <c r="M11" s="31"/>
    </row>
    <row r="12" spans="1:20">
      <c r="A12" s="15">
        <v>7</v>
      </c>
      <c r="B12" s="121" t="s">
        <v>57</v>
      </c>
      <c r="C12" s="122" t="s">
        <v>489</v>
      </c>
      <c r="D12" s="122" t="s">
        <v>470</v>
      </c>
      <c r="E12" s="122" t="s">
        <v>425</v>
      </c>
      <c r="F12" s="33" t="s">
        <v>24</v>
      </c>
      <c r="G12" s="33">
        <v>54000</v>
      </c>
      <c r="H12" s="16">
        <v>0.67152777777777783</v>
      </c>
      <c r="I12" s="16">
        <v>0.71180555555555547</v>
      </c>
      <c r="J12" s="30">
        <f t="shared" si="0"/>
        <v>4.0277777777777635E-2</v>
      </c>
      <c r="K12" s="30" t="str">
        <f t="shared" si="1"/>
        <v>Passed</v>
      </c>
      <c r="L12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x1</v>
      </c>
      <c r="M12" s="31"/>
    </row>
    <row r="13" spans="1:20">
      <c r="A13" s="15">
        <v>8</v>
      </c>
      <c r="B13" s="121" t="s">
        <v>57</v>
      </c>
      <c r="C13" s="122" t="s">
        <v>408</v>
      </c>
      <c r="D13" s="122" t="s">
        <v>130</v>
      </c>
      <c r="E13" s="122" t="s">
        <v>148</v>
      </c>
      <c r="F13" s="33" t="s">
        <v>31</v>
      </c>
      <c r="G13" s="33">
        <v>36000</v>
      </c>
      <c r="H13" s="16">
        <v>0.67499999999999993</v>
      </c>
      <c r="I13" s="16">
        <v>0.71875</v>
      </c>
      <c r="J13" s="30">
        <f t="shared" si="0"/>
        <v>4.3750000000000067E-2</v>
      </c>
      <c r="K13" s="30" t="str">
        <f t="shared" si="1"/>
        <v>No Remarks</v>
      </c>
      <c r="L13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x2</v>
      </c>
      <c r="M13" s="31"/>
    </row>
    <row r="14" spans="1:20" s="1" customFormat="1">
      <c r="A14" s="15">
        <v>9</v>
      </c>
      <c r="B14" s="121" t="s">
        <v>57</v>
      </c>
      <c r="C14" s="122" t="s">
        <v>442</v>
      </c>
      <c r="D14" s="122" t="s">
        <v>130</v>
      </c>
      <c r="E14" s="122" t="s">
        <v>148</v>
      </c>
      <c r="F14" s="33" t="s">
        <v>31</v>
      </c>
      <c r="G14" s="33">
        <v>45000</v>
      </c>
      <c r="H14" s="16">
        <v>0.64722222222222225</v>
      </c>
      <c r="I14" s="16">
        <v>0.72222222222222221</v>
      </c>
      <c r="J14" s="30">
        <f t="shared" si="0"/>
        <v>7.4999999999999956E-2</v>
      </c>
      <c r="K14" s="30" t="str">
        <f t="shared" si="1"/>
        <v>Failed</v>
      </c>
      <c r="L14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14" s="31" t="s">
        <v>354</v>
      </c>
    </row>
    <row r="15" spans="1:20">
      <c r="A15" s="15">
        <v>10</v>
      </c>
      <c r="B15" s="121" t="s">
        <v>57</v>
      </c>
      <c r="C15" s="122" t="s">
        <v>447</v>
      </c>
      <c r="D15" s="122" t="s">
        <v>393</v>
      </c>
      <c r="E15" s="122" t="s">
        <v>416</v>
      </c>
      <c r="F15" s="33" t="s">
        <v>24</v>
      </c>
      <c r="G15" s="33">
        <v>13500</v>
      </c>
      <c r="H15" s="16">
        <v>0.67083333333333339</v>
      </c>
      <c r="I15" s="16">
        <v>0.70833333333333337</v>
      </c>
      <c r="J15" s="30">
        <f t="shared" si="0"/>
        <v>3.7499999999999978E-2</v>
      </c>
      <c r="K15" s="30" t="str">
        <f t="shared" si="1"/>
        <v>No Remarks</v>
      </c>
      <c r="L15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x1</v>
      </c>
      <c r="M15" s="31"/>
    </row>
    <row r="16" spans="1:20">
      <c r="A16" s="15">
        <v>11</v>
      </c>
      <c r="B16" s="121" t="s">
        <v>57</v>
      </c>
      <c r="C16" s="122" t="s">
        <v>490</v>
      </c>
      <c r="D16" s="122" t="s">
        <v>396</v>
      </c>
      <c r="E16" s="122" t="s">
        <v>454</v>
      </c>
      <c r="F16" s="33" t="s">
        <v>31</v>
      </c>
      <c r="G16" s="33">
        <v>54000</v>
      </c>
      <c r="H16" s="63">
        <v>0.63611111111111118</v>
      </c>
      <c r="I16" s="63">
        <v>0.69513888888888886</v>
      </c>
      <c r="J16" s="30">
        <f t="shared" si="0"/>
        <v>5.9027777777777679E-2</v>
      </c>
      <c r="K16" s="30" t="str">
        <f t="shared" si="1"/>
        <v>Passed</v>
      </c>
      <c r="L16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16" s="62"/>
    </row>
    <row r="17" spans="1:13">
      <c r="A17" s="15">
        <v>12</v>
      </c>
      <c r="B17" s="121" t="s">
        <v>57</v>
      </c>
      <c r="C17" s="122" t="s">
        <v>446</v>
      </c>
      <c r="D17" s="122" t="s">
        <v>188</v>
      </c>
      <c r="E17" s="122" t="s">
        <v>189</v>
      </c>
      <c r="F17" s="33" t="s">
        <v>31</v>
      </c>
      <c r="G17" s="33">
        <v>54000</v>
      </c>
      <c r="H17" s="63">
        <v>0.62361111111111112</v>
      </c>
      <c r="I17" s="63">
        <v>0.70138888888888884</v>
      </c>
      <c r="J17" s="30">
        <f t="shared" si="0"/>
        <v>7.7777777777777724E-2</v>
      </c>
      <c r="K17" s="30" t="str">
        <f t="shared" si="1"/>
        <v>Failed</v>
      </c>
      <c r="L17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17" s="31" t="s">
        <v>354</v>
      </c>
    </row>
    <row r="18" spans="1:13">
      <c r="A18" s="15">
        <v>13</v>
      </c>
      <c r="B18" s="121" t="s">
        <v>57</v>
      </c>
      <c r="C18" s="122" t="s">
        <v>153</v>
      </c>
      <c r="D18" s="122" t="s">
        <v>130</v>
      </c>
      <c r="E18" s="122" t="s">
        <v>148</v>
      </c>
      <c r="F18" s="33" t="s">
        <v>31</v>
      </c>
      <c r="G18" s="33">
        <v>31500</v>
      </c>
      <c r="H18" s="63">
        <v>0.64097222222222217</v>
      </c>
      <c r="I18" s="63">
        <v>0.69444444444444453</v>
      </c>
      <c r="J18" s="30">
        <f t="shared" si="0"/>
        <v>5.3472222222222365E-2</v>
      </c>
      <c r="K18" s="30" t="str">
        <f t="shared" si="1"/>
        <v>No Remarks</v>
      </c>
      <c r="L18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18" s="62"/>
    </row>
    <row r="19" spans="1:13">
      <c r="A19" s="15">
        <v>14</v>
      </c>
      <c r="B19" s="121" t="s">
        <v>57</v>
      </c>
      <c r="C19" s="122" t="s">
        <v>236</v>
      </c>
      <c r="D19" s="122" t="s">
        <v>452</v>
      </c>
      <c r="E19" s="122" t="s">
        <v>409</v>
      </c>
      <c r="F19" s="33" t="s">
        <v>31</v>
      </c>
      <c r="G19" s="33">
        <v>54000</v>
      </c>
      <c r="H19" s="63">
        <v>0.625</v>
      </c>
      <c r="I19" s="63">
        <v>0.69097222222222221</v>
      </c>
      <c r="J19" s="30">
        <f t="shared" si="0"/>
        <v>6.597222222222221E-2</v>
      </c>
      <c r="K19" s="30" t="str">
        <f t="shared" si="1"/>
        <v>Passed</v>
      </c>
      <c r="L19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19" s="62"/>
    </row>
    <row r="20" spans="1:13">
      <c r="A20" s="15">
        <v>15</v>
      </c>
      <c r="B20" s="121" t="s">
        <v>57</v>
      </c>
      <c r="C20" s="122" t="s">
        <v>151</v>
      </c>
      <c r="D20" s="122" t="s">
        <v>130</v>
      </c>
      <c r="E20" s="122" t="s">
        <v>148</v>
      </c>
      <c r="F20" s="33" t="s">
        <v>24</v>
      </c>
      <c r="G20" s="33">
        <v>54000</v>
      </c>
      <c r="H20" s="63">
        <v>0.62986111111111109</v>
      </c>
      <c r="I20" s="63">
        <v>0.69444444444444453</v>
      </c>
      <c r="J20" s="30">
        <f t="shared" si="0"/>
        <v>6.4583333333333437E-2</v>
      </c>
      <c r="K20" s="30" t="str">
        <f t="shared" si="1"/>
        <v>Passed</v>
      </c>
      <c r="L20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20" s="62"/>
    </row>
    <row r="21" spans="1:13">
      <c r="A21" s="15">
        <v>16</v>
      </c>
      <c r="B21" s="121" t="s">
        <v>57</v>
      </c>
      <c r="C21" s="122" t="s">
        <v>221</v>
      </c>
      <c r="D21" s="122" t="s">
        <v>452</v>
      </c>
      <c r="E21" s="122" t="s">
        <v>222</v>
      </c>
      <c r="F21" s="33" t="s">
        <v>31</v>
      </c>
      <c r="G21" s="33">
        <v>54000</v>
      </c>
      <c r="H21" s="63">
        <v>0.62152777777777779</v>
      </c>
      <c r="I21" s="63">
        <v>0.68541666666666667</v>
      </c>
      <c r="J21" s="30">
        <f t="shared" si="0"/>
        <v>6.3888888888888884E-2</v>
      </c>
      <c r="K21" s="30" t="str">
        <f t="shared" si="1"/>
        <v>Passed</v>
      </c>
      <c r="L21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21" s="62"/>
    </row>
    <row r="22" spans="1:13">
      <c r="A22" s="15">
        <v>17</v>
      </c>
      <c r="B22" s="121" t="s">
        <v>57</v>
      </c>
      <c r="C22" s="122" t="s">
        <v>248</v>
      </c>
      <c r="D22" s="122" t="s">
        <v>130</v>
      </c>
      <c r="E22" s="122" t="s">
        <v>148</v>
      </c>
      <c r="F22" s="33" t="s">
        <v>24</v>
      </c>
      <c r="G22" s="33">
        <v>31500</v>
      </c>
      <c r="H22" s="63">
        <v>0.66388888888888886</v>
      </c>
      <c r="I22" s="63">
        <v>0.68055555555555547</v>
      </c>
      <c r="J22" s="30">
        <f t="shared" si="0"/>
        <v>1.6666666666666607E-2</v>
      </c>
      <c r="K22" s="30" t="str">
        <f t="shared" si="1"/>
        <v>No Remarks</v>
      </c>
      <c r="L22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x1</v>
      </c>
      <c r="M22" s="62"/>
    </row>
    <row r="23" spans="1:13">
      <c r="A23" s="15">
        <v>18</v>
      </c>
      <c r="B23" s="121" t="s">
        <v>57</v>
      </c>
      <c r="C23" s="122" t="s">
        <v>477</v>
      </c>
      <c r="D23" s="122" t="s">
        <v>61</v>
      </c>
      <c r="E23" s="122" t="s">
        <v>390</v>
      </c>
      <c r="F23" s="33" t="s">
        <v>31</v>
      </c>
      <c r="G23" s="33">
        <v>27000</v>
      </c>
      <c r="H23" s="63">
        <v>0.625</v>
      </c>
      <c r="I23" s="63">
        <v>0.6791666666666667</v>
      </c>
      <c r="J23" s="30">
        <f t="shared" si="0"/>
        <v>5.4166666666666696E-2</v>
      </c>
      <c r="K23" s="30" t="str">
        <f t="shared" si="1"/>
        <v>No Remarks</v>
      </c>
      <c r="L23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23" s="62"/>
    </row>
    <row r="24" spans="1:13">
      <c r="A24" s="15">
        <v>19</v>
      </c>
      <c r="B24" s="121" t="s">
        <v>57</v>
      </c>
      <c r="C24" s="122" t="s">
        <v>242</v>
      </c>
      <c r="D24" s="122" t="s">
        <v>470</v>
      </c>
      <c r="E24" s="122" t="s">
        <v>210</v>
      </c>
      <c r="F24" s="33" t="s">
        <v>24</v>
      </c>
      <c r="G24" s="33">
        <v>54000</v>
      </c>
      <c r="H24" s="63">
        <v>0.59236111111111112</v>
      </c>
      <c r="I24" s="63">
        <v>0.66527777777777775</v>
      </c>
      <c r="J24" s="30">
        <f t="shared" si="0"/>
        <v>7.291666666666663E-2</v>
      </c>
      <c r="K24" s="30" t="str">
        <f t="shared" si="1"/>
        <v>Passed</v>
      </c>
      <c r="L24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24" s="62"/>
    </row>
    <row r="25" spans="1:13">
      <c r="A25" s="15">
        <v>20</v>
      </c>
      <c r="B25" s="121" t="s">
        <v>57</v>
      </c>
      <c r="C25" s="122" t="s">
        <v>443</v>
      </c>
      <c r="D25" s="122" t="s">
        <v>130</v>
      </c>
      <c r="E25" s="122" t="s">
        <v>148</v>
      </c>
      <c r="F25" s="33" t="s">
        <v>31</v>
      </c>
      <c r="G25" s="33">
        <v>27000</v>
      </c>
      <c r="H25" s="63">
        <v>0.59305555555555556</v>
      </c>
      <c r="I25" s="63">
        <v>0.67361111111111116</v>
      </c>
      <c r="J25" s="30">
        <f t="shared" si="0"/>
        <v>8.0555555555555602E-2</v>
      </c>
      <c r="K25" s="30" t="str">
        <f t="shared" si="1"/>
        <v>No Remarks</v>
      </c>
      <c r="L25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25" s="62"/>
    </row>
    <row r="26" spans="1:13">
      <c r="A26" s="15">
        <v>21</v>
      </c>
      <c r="B26" s="121" t="s">
        <v>57</v>
      </c>
      <c r="C26" s="122" t="s">
        <v>155</v>
      </c>
      <c r="D26" s="122" t="s">
        <v>130</v>
      </c>
      <c r="E26" s="122" t="s">
        <v>148</v>
      </c>
      <c r="F26" s="33" t="s">
        <v>24</v>
      </c>
      <c r="G26" s="33">
        <v>45000</v>
      </c>
      <c r="H26" s="63">
        <v>0.60069444444444442</v>
      </c>
      <c r="I26" s="63">
        <v>0.68472222222222223</v>
      </c>
      <c r="J26" s="30">
        <f t="shared" si="0"/>
        <v>8.4027777777777812E-2</v>
      </c>
      <c r="K26" s="30" t="str">
        <f t="shared" si="1"/>
        <v>Failed</v>
      </c>
      <c r="L26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x6</v>
      </c>
      <c r="M26" s="62" t="s">
        <v>358</v>
      </c>
    </row>
    <row r="27" spans="1:13">
      <c r="A27" s="15">
        <v>22</v>
      </c>
      <c r="B27" s="121" t="s">
        <v>57</v>
      </c>
      <c r="C27" s="122" t="s">
        <v>459</v>
      </c>
      <c r="D27" s="122" t="s">
        <v>346</v>
      </c>
      <c r="E27" s="122" t="s">
        <v>71</v>
      </c>
      <c r="F27" s="33" t="s">
        <v>31</v>
      </c>
      <c r="G27" s="33">
        <v>54000</v>
      </c>
      <c r="H27" s="63">
        <v>0.56180555555555556</v>
      </c>
      <c r="I27" s="63">
        <v>0.65763888888888888</v>
      </c>
      <c r="J27" s="30">
        <f t="shared" si="0"/>
        <v>9.5833333333333326E-2</v>
      </c>
      <c r="K27" s="30" t="str">
        <f t="shared" si="1"/>
        <v>Failed</v>
      </c>
      <c r="L27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x7</v>
      </c>
      <c r="M27" s="31" t="s">
        <v>354</v>
      </c>
    </row>
    <row r="28" spans="1:13">
      <c r="A28" s="15">
        <v>23</v>
      </c>
      <c r="B28" s="121" t="s">
        <v>57</v>
      </c>
      <c r="C28" s="122" t="s">
        <v>427</v>
      </c>
      <c r="D28" s="122" t="s">
        <v>130</v>
      </c>
      <c r="E28" s="122" t="s">
        <v>148</v>
      </c>
      <c r="F28" s="33" t="s">
        <v>24</v>
      </c>
      <c r="G28" s="33">
        <v>27000</v>
      </c>
      <c r="H28" s="63">
        <v>0.6</v>
      </c>
      <c r="I28" s="63">
        <v>0.65833333333333333</v>
      </c>
      <c r="J28" s="30">
        <f t="shared" si="0"/>
        <v>5.8333333333333348E-2</v>
      </c>
      <c r="K28" s="30" t="str">
        <f t="shared" si="1"/>
        <v>No Remarks</v>
      </c>
      <c r="L28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28" s="62"/>
    </row>
    <row r="29" spans="1:13">
      <c r="A29" s="15">
        <v>24</v>
      </c>
      <c r="B29" s="121" t="s">
        <v>57</v>
      </c>
      <c r="C29" s="122" t="s">
        <v>424</v>
      </c>
      <c r="D29" s="122" t="s">
        <v>130</v>
      </c>
      <c r="E29" s="122" t="s">
        <v>148</v>
      </c>
      <c r="F29" s="33" t="s">
        <v>24</v>
      </c>
      <c r="G29" s="33">
        <v>36000</v>
      </c>
      <c r="H29" s="63">
        <v>0.60902777777777783</v>
      </c>
      <c r="I29" s="63">
        <v>0.67013888888888884</v>
      </c>
      <c r="J29" s="30">
        <f t="shared" si="0"/>
        <v>6.1111111111111005E-2</v>
      </c>
      <c r="K29" s="30" t="str">
        <f t="shared" si="1"/>
        <v>No Remarks</v>
      </c>
      <c r="L29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29" s="62"/>
    </row>
    <row r="30" spans="1:13">
      <c r="A30" s="15">
        <v>25</v>
      </c>
      <c r="B30" s="121" t="s">
        <v>57</v>
      </c>
      <c r="C30" s="122" t="s">
        <v>261</v>
      </c>
      <c r="D30" s="122" t="s">
        <v>130</v>
      </c>
      <c r="E30" s="122" t="s">
        <v>148</v>
      </c>
      <c r="F30" s="33" t="s">
        <v>24</v>
      </c>
      <c r="G30" s="33">
        <v>45000</v>
      </c>
      <c r="H30" s="63">
        <v>0.59027777777777779</v>
      </c>
      <c r="I30" s="63">
        <v>0.6694444444444444</v>
      </c>
      <c r="J30" s="30">
        <f t="shared" si="0"/>
        <v>7.9166666666666607E-2</v>
      </c>
      <c r="K30" s="30" t="str">
        <f t="shared" si="1"/>
        <v>Failed</v>
      </c>
      <c r="L30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30" s="62" t="s">
        <v>358</v>
      </c>
    </row>
    <row r="31" spans="1:13">
      <c r="A31" s="15">
        <v>26</v>
      </c>
      <c r="B31" s="121" t="s">
        <v>57</v>
      </c>
      <c r="C31" s="122" t="s">
        <v>273</v>
      </c>
      <c r="D31" s="122" t="s">
        <v>130</v>
      </c>
      <c r="E31" s="122" t="s">
        <v>148</v>
      </c>
      <c r="F31" s="33" t="s">
        <v>31</v>
      </c>
      <c r="G31" s="33">
        <v>45000</v>
      </c>
      <c r="H31" s="63">
        <v>0.58333333333333337</v>
      </c>
      <c r="I31" s="63">
        <v>0.66875000000000007</v>
      </c>
      <c r="J31" s="30">
        <f t="shared" si="0"/>
        <v>8.5416666666666696E-2</v>
      </c>
      <c r="K31" s="30" t="str">
        <f t="shared" si="1"/>
        <v>Failed</v>
      </c>
      <c r="L31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x6</v>
      </c>
      <c r="M31" s="31" t="s">
        <v>354</v>
      </c>
    </row>
    <row r="32" spans="1:13">
      <c r="A32" s="15">
        <v>27</v>
      </c>
      <c r="B32" s="121" t="s">
        <v>57</v>
      </c>
      <c r="C32" s="122" t="s">
        <v>278</v>
      </c>
      <c r="D32" s="122" t="s">
        <v>470</v>
      </c>
      <c r="E32" s="122" t="s">
        <v>69</v>
      </c>
      <c r="F32" s="33" t="s">
        <v>24</v>
      </c>
      <c r="G32" s="33">
        <v>54000</v>
      </c>
      <c r="H32" s="63">
        <v>0.57430555555555551</v>
      </c>
      <c r="I32" s="63">
        <v>0.64374999999999993</v>
      </c>
      <c r="J32" s="30">
        <f t="shared" si="0"/>
        <v>6.944444444444442E-2</v>
      </c>
      <c r="K32" s="30" t="str">
        <f t="shared" si="1"/>
        <v>Passed</v>
      </c>
      <c r="L32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32" s="62"/>
    </row>
    <row r="33" spans="1:24">
      <c r="A33" s="15">
        <v>28</v>
      </c>
      <c r="B33" s="121" t="s">
        <v>57</v>
      </c>
      <c r="C33" s="122" t="s">
        <v>391</v>
      </c>
      <c r="D33" s="122" t="s">
        <v>130</v>
      </c>
      <c r="E33" s="122" t="s">
        <v>148</v>
      </c>
      <c r="F33" s="33" t="s">
        <v>31</v>
      </c>
      <c r="G33" s="33">
        <v>27000</v>
      </c>
      <c r="H33" s="63">
        <v>0.58958333333333335</v>
      </c>
      <c r="I33" s="63">
        <v>0.65347222222222223</v>
      </c>
      <c r="J33" s="30">
        <f t="shared" si="0"/>
        <v>6.3888888888888884E-2</v>
      </c>
      <c r="K33" s="30" t="str">
        <f t="shared" si="1"/>
        <v>No Remarks</v>
      </c>
      <c r="L33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33" s="62"/>
      <c r="O33" s="25" t="s">
        <v>355</v>
      </c>
    </row>
    <row r="34" spans="1:24">
      <c r="A34" s="15">
        <v>29</v>
      </c>
      <c r="B34" s="121" t="s">
        <v>57</v>
      </c>
      <c r="C34" s="122" t="s">
        <v>160</v>
      </c>
      <c r="D34" s="122" t="s">
        <v>130</v>
      </c>
      <c r="E34" s="122" t="s">
        <v>148</v>
      </c>
      <c r="F34" s="33" t="s">
        <v>31</v>
      </c>
      <c r="G34" s="33">
        <v>45000</v>
      </c>
      <c r="H34" s="63">
        <v>0.58263888888888882</v>
      </c>
      <c r="I34" s="63">
        <v>0.65625</v>
      </c>
      <c r="J34" s="30">
        <f t="shared" si="0"/>
        <v>7.3611111111111183E-2</v>
      </c>
      <c r="K34" s="30" t="str">
        <f t="shared" si="1"/>
        <v>Failed</v>
      </c>
      <c r="L34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34" s="31" t="s">
        <v>354</v>
      </c>
      <c r="O34" s="29" t="s">
        <v>302</v>
      </c>
      <c r="P34" s="29" t="s">
        <v>303</v>
      </c>
      <c r="Q34" s="29" t="s">
        <v>304</v>
      </c>
      <c r="R34" s="29" t="s">
        <v>305</v>
      </c>
      <c r="S34" s="29" t="s">
        <v>306</v>
      </c>
      <c r="T34" s="29" t="s">
        <v>307</v>
      </c>
      <c r="U34" s="29" t="s">
        <v>308</v>
      </c>
      <c r="V34" s="29" t="s">
        <v>309</v>
      </c>
      <c r="W34" s="29" t="s">
        <v>310</v>
      </c>
      <c r="X34" s="29" t="s">
        <v>311</v>
      </c>
    </row>
    <row r="35" spans="1:24">
      <c r="A35" s="15">
        <v>30</v>
      </c>
      <c r="B35" s="121" t="s">
        <v>57</v>
      </c>
      <c r="C35" s="122" t="s">
        <v>448</v>
      </c>
      <c r="D35" s="122" t="s">
        <v>470</v>
      </c>
      <c r="E35" s="122" t="s">
        <v>449</v>
      </c>
      <c r="F35" s="33" t="s">
        <v>31</v>
      </c>
      <c r="G35" s="33">
        <v>13500</v>
      </c>
      <c r="H35" s="63">
        <v>0.58194444444444449</v>
      </c>
      <c r="I35" s="63">
        <v>0.64236111111111105</v>
      </c>
      <c r="J35" s="30">
        <f t="shared" si="0"/>
        <v>6.0416666666666563E-2</v>
      </c>
      <c r="K35" s="30" t="str">
        <f t="shared" si="1"/>
        <v>No Remarks</v>
      </c>
      <c r="L35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35" s="62"/>
      <c r="O35" s="35" t="s">
        <v>312</v>
      </c>
      <c r="P35" s="35" t="s">
        <v>313</v>
      </c>
      <c r="Q35" s="35" t="s">
        <v>314</v>
      </c>
      <c r="R35" s="35" t="s">
        <v>315</v>
      </c>
      <c r="S35" s="35" t="s">
        <v>316</v>
      </c>
      <c r="T35" s="35" t="s">
        <v>317</v>
      </c>
      <c r="U35" s="35" t="s">
        <v>318</v>
      </c>
      <c r="V35" s="35" t="s">
        <v>319</v>
      </c>
      <c r="W35" s="35" t="s">
        <v>320</v>
      </c>
      <c r="X35" s="35" t="s">
        <v>321</v>
      </c>
    </row>
    <row r="36" spans="1:24">
      <c r="A36" s="15">
        <v>31</v>
      </c>
      <c r="B36" s="121" t="s">
        <v>57</v>
      </c>
      <c r="C36" s="122" t="s">
        <v>428</v>
      </c>
      <c r="D36" s="122" t="s">
        <v>130</v>
      </c>
      <c r="E36" s="122" t="s">
        <v>426</v>
      </c>
      <c r="F36" s="33" t="s">
        <v>24</v>
      </c>
      <c r="G36" s="33">
        <v>22500</v>
      </c>
      <c r="H36" s="63">
        <v>0.59027777777777779</v>
      </c>
      <c r="I36" s="63">
        <v>0.6479166666666667</v>
      </c>
      <c r="J36" s="30">
        <f t="shared" si="0"/>
        <v>5.7638888888888906E-2</v>
      </c>
      <c r="K36" s="30" t="str">
        <f t="shared" si="1"/>
        <v>No Remarks</v>
      </c>
      <c r="L36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36" s="62"/>
      <c r="O36" s="33">
        <f>COUNTIF(April28_20232442[MEAS],O35)</f>
        <v>6</v>
      </c>
      <c r="P36" s="33">
        <f>COUNTIF(April28_20232442[MEAS],P35)</f>
        <v>9</v>
      </c>
      <c r="Q36" s="33">
        <f>COUNTIF(April28_20232442[MEAS],Q35)</f>
        <v>31</v>
      </c>
      <c r="R36" s="33">
        <f>COUNTIF(April28_20232442[MEAS],R35)</f>
        <v>19</v>
      </c>
      <c r="S36" s="33">
        <f>COUNTIF(April28_20232442[MEAS],S35)</f>
        <v>17</v>
      </c>
      <c r="T36" s="33">
        <f>COUNTIF(April28_20232442[MEAS],T35)</f>
        <v>4</v>
      </c>
      <c r="U36" s="33">
        <f>COUNTIF(April28_20232442[MEAS],U35)</f>
        <v>2</v>
      </c>
      <c r="V36" s="33">
        <f>COUNTIF(April28_20232442[MEAS],V35)</f>
        <v>2</v>
      </c>
      <c r="W36" s="33">
        <f>COUNTIF(April28_20232442[MEAS],W35)</f>
        <v>0</v>
      </c>
      <c r="X36" s="33">
        <f>COUNTIF(April28_20232442[MEAS],X35)</f>
        <v>0</v>
      </c>
    </row>
    <row r="37" spans="1:24" ht="15.75">
      <c r="A37" s="15">
        <v>32</v>
      </c>
      <c r="B37" s="121" t="s">
        <v>57</v>
      </c>
      <c r="C37" s="122" t="s">
        <v>460</v>
      </c>
      <c r="D37" s="122" t="s">
        <v>130</v>
      </c>
      <c r="E37" s="122" t="s">
        <v>148</v>
      </c>
      <c r="F37" s="33" t="s">
        <v>31</v>
      </c>
      <c r="G37" s="33">
        <v>13500</v>
      </c>
      <c r="H37" s="63">
        <v>0.60625000000000007</v>
      </c>
      <c r="I37" s="63">
        <v>0.65416666666666667</v>
      </c>
      <c r="J37" s="30">
        <f t="shared" si="0"/>
        <v>4.7916666666666607E-2</v>
      </c>
      <c r="K37" s="30" t="str">
        <f t="shared" si="1"/>
        <v>No Remarks</v>
      </c>
      <c r="L37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x2</v>
      </c>
      <c r="M37" s="62"/>
      <c r="O37" s="36" t="s">
        <v>28</v>
      </c>
      <c r="P37" s="36">
        <f>SUM(O36:X36)</f>
        <v>90</v>
      </c>
      <c r="Q37" s="33"/>
      <c r="R37" s="33"/>
      <c r="S37" s="33"/>
      <c r="T37" s="33"/>
      <c r="U37" s="35"/>
      <c r="V37" s="35"/>
      <c r="W37" s="41"/>
      <c r="X37" s="33"/>
    </row>
    <row r="38" spans="1:24">
      <c r="A38" s="15">
        <v>33</v>
      </c>
      <c r="B38" s="121" t="s">
        <v>57</v>
      </c>
      <c r="C38" s="122" t="s">
        <v>191</v>
      </c>
      <c r="D38" s="122" t="s">
        <v>130</v>
      </c>
      <c r="E38" s="122" t="s">
        <v>148</v>
      </c>
      <c r="F38" s="33" t="s">
        <v>24</v>
      </c>
      <c r="G38" s="33">
        <v>18000</v>
      </c>
      <c r="H38" s="63">
        <v>0.57500000000000007</v>
      </c>
      <c r="I38" s="63">
        <v>0.64027777777777783</v>
      </c>
      <c r="J38" s="30">
        <f t="shared" si="0"/>
        <v>6.5277777777777768E-2</v>
      </c>
      <c r="K38" s="30" t="str">
        <f t="shared" si="1"/>
        <v>No Remarks</v>
      </c>
      <c r="L38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38" s="62"/>
    </row>
    <row r="39" spans="1:24">
      <c r="A39" s="15">
        <v>34</v>
      </c>
      <c r="B39" s="121" t="s">
        <v>57</v>
      </c>
      <c r="C39" s="122" t="s">
        <v>491</v>
      </c>
      <c r="D39" s="122" t="s">
        <v>470</v>
      </c>
      <c r="E39" s="122" t="s">
        <v>210</v>
      </c>
      <c r="F39" s="33" t="s">
        <v>24</v>
      </c>
      <c r="G39" s="33">
        <v>54000</v>
      </c>
      <c r="H39" s="63">
        <v>0.57777777777777783</v>
      </c>
      <c r="I39" s="63">
        <v>0.64097222222222217</v>
      </c>
      <c r="J39" s="30">
        <f t="shared" si="0"/>
        <v>6.3194444444444331E-2</v>
      </c>
      <c r="K39" s="30" t="str">
        <f t="shared" si="1"/>
        <v>Passed</v>
      </c>
      <c r="L39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39" s="62"/>
    </row>
    <row r="40" spans="1:24">
      <c r="A40" s="15">
        <v>35</v>
      </c>
      <c r="B40" s="121" t="s">
        <v>57</v>
      </c>
      <c r="C40" s="122" t="s">
        <v>256</v>
      </c>
      <c r="D40" s="122" t="s">
        <v>452</v>
      </c>
      <c r="E40" s="122" t="s">
        <v>492</v>
      </c>
      <c r="F40" s="33" t="s">
        <v>31</v>
      </c>
      <c r="G40" s="33">
        <v>36000</v>
      </c>
      <c r="H40" s="63">
        <v>0.55069444444444449</v>
      </c>
      <c r="I40" s="63">
        <v>0.62361111111111112</v>
      </c>
      <c r="J40" s="30">
        <f t="shared" si="0"/>
        <v>7.291666666666663E-2</v>
      </c>
      <c r="K40" s="30" t="str">
        <f t="shared" si="1"/>
        <v>No Remarks</v>
      </c>
      <c r="L40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40" s="62"/>
    </row>
    <row r="41" spans="1:24">
      <c r="A41" s="15">
        <v>36</v>
      </c>
      <c r="B41" s="121" t="s">
        <v>57</v>
      </c>
      <c r="C41" s="122" t="s">
        <v>301</v>
      </c>
      <c r="D41" s="122" t="s">
        <v>130</v>
      </c>
      <c r="E41" s="122" t="s">
        <v>148</v>
      </c>
      <c r="F41" s="33" t="s">
        <v>24</v>
      </c>
      <c r="G41" s="33">
        <v>18000</v>
      </c>
      <c r="H41" s="63">
        <v>0.57430555555555551</v>
      </c>
      <c r="I41" s="63">
        <v>0.65277777777777779</v>
      </c>
      <c r="J41" s="30">
        <f t="shared" si="0"/>
        <v>7.8472222222222276E-2</v>
      </c>
      <c r="K41" s="30" t="str">
        <f t="shared" si="1"/>
        <v>No Remarks</v>
      </c>
      <c r="L41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41" s="62"/>
    </row>
    <row r="42" spans="1:24">
      <c r="A42" s="15">
        <v>37</v>
      </c>
      <c r="B42" s="121" t="s">
        <v>57</v>
      </c>
      <c r="C42" s="122" t="s">
        <v>441</v>
      </c>
      <c r="D42" s="122" t="s">
        <v>130</v>
      </c>
      <c r="E42" s="122" t="s">
        <v>148</v>
      </c>
      <c r="F42" s="33" t="s">
        <v>24</v>
      </c>
      <c r="G42" s="33">
        <v>45000</v>
      </c>
      <c r="H42" s="63">
        <v>0.54861111111111105</v>
      </c>
      <c r="I42" s="63">
        <v>0.62291666666666667</v>
      </c>
      <c r="J42" s="30">
        <f t="shared" si="0"/>
        <v>7.4305555555555625E-2</v>
      </c>
      <c r="K42" s="30" t="str">
        <f t="shared" si="1"/>
        <v>Failed</v>
      </c>
      <c r="L42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42" s="62" t="s">
        <v>358</v>
      </c>
    </row>
    <row r="43" spans="1:24">
      <c r="A43" s="15">
        <v>38</v>
      </c>
      <c r="B43" s="121" t="s">
        <v>57</v>
      </c>
      <c r="C43" s="122" t="s">
        <v>405</v>
      </c>
      <c r="D43" s="122" t="s">
        <v>130</v>
      </c>
      <c r="E43" s="122" t="s">
        <v>148</v>
      </c>
      <c r="F43" s="33" t="s">
        <v>31</v>
      </c>
      <c r="G43" s="33">
        <v>36000</v>
      </c>
      <c r="H43" s="63">
        <v>0.55138888888888882</v>
      </c>
      <c r="I43" s="63">
        <v>0.62152777777777779</v>
      </c>
      <c r="J43" s="30">
        <f t="shared" si="0"/>
        <v>7.0138888888888973E-2</v>
      </c>
      <c r="K43" s="30" t="str">
        <f t="shared" si="1"/>
        <v>No Remarks</v>
      </c>
      <c r="L43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43" s="62"/>
    </row>
    <row r="44" spans="1:24">
      <c r="A44" s="15">
        <v>39</v>
      </c>
      <c r="B44" s="121" t="s">
        <v>57</v>
      </c>
      <c r="C44" s="122" t="s">
        <v>75</v>
      </c>
      <c r="D44" s="122" t="s">
        <v>470</v>
      </c>
      <c r="E44" s="122" t="s">
        <v>69</v>
      </c>
      <c r="F44" s="33" t="s">
        <v>24</v>
      </c>
      <c r="G44" s="33">
        <v>54000</v>
      </c>
      <c r="H44" s="63">
        <v>0.54375000000000007</v>
      </c>
      <c r="I44" s="63">
        <v>0.59930555555555554</v>
      </c>
      <c r="J44" s="30">
        <f t="shared" si="0"/>
        <v>5.5555555555555469E-2</v>
      </c>
      <c r="K44" s="30" t="str">
        <f t="shared" si="1"/>
        <v>Passed</v>
      </c>
      <c r="L44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44" s="62"/>
    </row>
    <row r="45" spans="1:24">
      <c r="A45" s="15">
        <v>40</v>
      </c>
      <c r="B45" s="121" t="s">
        <v>57</v>
      </c>
      <c r="C45" s="122" t="s">
        <v>435</v>
      </c>
      <c r="D45" s="122" t="s">
        <v>130</v>
      </c>
      <c r="E45" s="122" t="s">
        <v>148</v>
      </c>
      <c r="F45" s="33" t="s">
        <v>31</v>
      </c>
      <c r="G45" s="33">
        <v>45000</v>
      </c>
      <c r="H45" s="63">
        <v>0.54999999999999993</v>
      </c>
      <c r="I45" s="63">
        <v>0.62013888888888891</v>
      </c>
      <c r="J45" s="30">
        <f t="shared" si="0"/>
        <v>7.0138888888888973E-2</v>
      </c>
      <c r="K45" s="30" t="str">
        <f t="shared" si="1"/>
        <v>Passed</v>
      </c>
      <c r="L45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45" s="62"/>
    </row>
    <row r="46" spans="1:24">
      <c r="A46" s="15">
        <v>41</v>
      </c>
      <c r="B46" s="121" t="s">
        <v>57</v>
      </c>
      <c r="C46" s="122" t="s">
        <v>323</v>
      </c>
      <c r="D46" s="122" t="s">
        <v>130</v>
      </c>
      <c r="E46" s="122" t="s">
        <v>148</v>
      </c>
      <c r="F46" s="33" t="s">
        <v>24</v>
      </c>
      <c r="G46" s="33">
        <v>27000</v>
      </c>
      <c r="H46" s="63">
        <v>0.54236111111111118</v>
      </c>
      <c r="I46" s="63">
        <v>0.61875000000000002</v>
      </c>
      <c r="J46" s="30">
        <f t="shared" si="0"/>
        <v>7.638888888888884E-2</v>
      </c>
      <c r="K46" s="30" t="str">
        <f t="shared" si="1"/>
        <v>No Remarks</v>
      </c>
      <c r="L46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46" s="62"/>
    </row>
    <row r="47" spans="1:24">
      <c r="A47" s="15">
        <v>42</v>
      </c>
      <c r="B47" s="121" t="s">
        <v>57</v>
      </c>
      <c r="C47" s="122" t="s">
        <v>474</v>
      </c>
      <c r="D47" s="122" t="s">
        <v>130</v>
      </c>
      <c r="E47" s="122" t="s">
        <v>148</v>
      </c>
      <c r="F47" s="33" t="s">
        <v>31</v>
      </c>
      <c r="G47" s="33">
        <v>13500</v>
      </c>
      <c r="H47" s="63">
        <v>0.56111111111111112</v>
      </c>
      <c r="I47" s="63">
        <v>0.62222222222222223</v>
      </c>
      <c r="J47" s="30">
        <f t="shared" si="0"/>
        <v>6.1111111111111116E-2</v>
      </c>
      <c r="K47" s="30" t="str">
        <f t="shared" si="1"/>
        <v>No Remarks</v>
      </c>
      <c r="L47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47" s="62"/>
    </row>
    <row r="48" spans="1:24">
      <c r="A48" s="15">
        <v>43</v>
      </c>
      <c r="B48" s="121" t="s">
        <v>57</v>
      </c>
      <c r="C48" s="122" t="s">
        <v>270</v>
      </c>
      <c r="D48" s="122" t="s">
        <v>130</v>
      </c>
      <c r="E48" s="122" t="s">
        <v>426</v>
      </c>
      <c r="F48" s="33" t="s">
        <v>24</v>
      </c>
      <c r="G48" s="33">
        <v>27000</v>
      </c>
      <c r="H48" s="63">
        <v>0.54513888888888895</v>
      </c>
      <c r="I48" s="63">
        <v>0.65694444444444444</v>
      </c>
      <c r="J48" s="30">
        <f t="shared" si="0"/>
        <v>0.11180555555555549</v>
      </c>
      <c r="K48" s="30" t="str">
        <f t="shared" si="1"/>
        <v>No Remarks</v>
      </c>
      <c r="L48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x8</v>
      </c>
      <c r="M48" s="62"/>
    </row>
    <row r="49" spans="1:28">
      <c r="A49" s="15">
        <v>44</v>
      </c>
      <c r="B49" s="121" t="s">
        <v>57</v>
      </c>
      <c r="C49" s="122" t="s">
        <v>168</v>
      </c>
      <c r="D49" s="122" t="s">
        <v>470</v>
      </c>
      <c r="E49" s="122" t="s">
        <v>457</v>
      </c>
      <c r="F49" s="33" t="s">
        <v>24</v>
      </c>
      <c r="G49" s="33">
        <v>54000</v>
      </c>
      <c r="H49" s="63">
        <v>0.5444444444444444</v>
      </c>
      <c r="I49" s="63">
        <v>0.59722222222222221</v>
      </c>
      <c r="J49" s="30">
        <f t="shared" si="0"/>
        <v>5.2777777777777812E-2</v>
      </c>
      <c r="K49" s="30" t="str">
        <f t="shared" si="1"/>
        <v>Passed</v>
      </c>
      <c r="L49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49" s="62"/>
    </row>
    <row r="50" spans="1:28">
      <c r="A50" s="15">
        <v>45</v>
      </c>
      <c r="B50" s="121" t="s">
        <v>57</v>
      </c>
      <c r="C50" s="122" t="s">
        <v>117</v>
      </c>
      <c r="D50" s="122" t="s">
        <v>346</v>
      </c>
      <c r="E50" s="122" t="s">
        <v>71</v>
      </c>
      <c r="F50" s="33" t="s">
        <v>31</v>
      </c>
      <c r="G50" s="33">
        <v>13500</v>
      </c>
      <c r="H50" s="63">
        <v>0.54999999999999993</v>
      </c>
      <c r="I50" s="63">
        <v>0.60069444444444442</v>
      </c>
      <c r="J50" s="30">
        <f t="shared" si="0"/>
        <v>5.0694444444444486E-2</v>
      </c>
      <c r="K50" s="30" t="str">
        <f t="shared" si="1"/>
        <v>No Remarks</v>
      </c>
      <c r="L50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x2</v>
      </c>
      <c r="M50" s="62"/>
    </row>
    <row r="51" spans="1:28">
      <c r="A51" s="15">
        <v>46</v>
      </c>
      <c r="B51" s="121" t="s">
        <v>57</v>
      </c>
      <c r="C51" s="122" t="s">
        <v>253</v>
      </c>
      <c r="D51" s="122" t="s">
        <v>130</v>
      </c>
      <c r="E51" s="122" t="s">
        <v>426</v>
      </c>
      <c r="F51" s="33" t="s">
        <v>24</v>
      </c>
      <c r="G51" s="33">
        <v>40500</v>
      </c>
      <c r="H51" s="63">
        <v>0.54166666666666663</v>
      </c>
      <c r="I51" s="63">
        <v>0.59861111111111109</v>
      </c>
      <c r="J51" s="30">
        <f t="shared" si="0"/>
        <v>5.6944444444444464E-2</v>
      </c>
      <c r="K51" s="30" t="str">
        <f t="shared" si="1"/>
        <v>No Remarks</v>
      </c>
      <c r="L51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51" s="62"/>
    </row>
    <row r="52" spans="1:28">
      <c r="A52" s="15">
        <v>47</v>
      </c>
      <c r="B52" s="121" t="s">
        <v>57</v>
      </c>
      <c r="C52" s="122" t="s">
        <v>224</v>
      </c>
      <c r="D52" s="122" t="s">
        <v>346</v>
      </c>
      <c r="E52" s="122" t="s">
        <v>71</v>
      </c>
      <c r="F52" s="33" t="s">
        <v>31</v>
      </c>
      <c r="G52" s="33">
        <v>45000</v>
      </c>
      <c r="H52" s="63">
        <v>0.52361111111111114</v>
      </c>
      <c r="I52" s="63">
        <v>0.58958333333333335</v>
      </c>
      <c r="J52" s="30">
        <f t="shared" si="0"/>
        <v>6.597222222222221E-2</v>
      </c>
      <c r="K52" s="30" t="str">
        <f t="shared" si="1"/>
        <v>Passed</v>
      </c>
      <c r="L52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52" s="62"/>
    </row>
    <row r="53" spans="1:28">
      <c r="A53" s="15">
        <v>48</v>
      </c>
      <c r="B53" s="121" t="s">
        <v>57</v>
      </c>
      <c r="C53" s="122" t="s">
        <v>329</v>
      </c>
      <c r="D53" s="122" t="s">
        <v>130</v>
      </c>
      <c r="E53" s="122" t="s">
        <v>148</v>
      </c>
      <c r="F53" s="33" t="s">
        <v>24</v>
      </c>
      <c r="G53" s="33">
        <v>54000</v>
      </c>
      <c r="H53" s="63">
        <v>0.52152777777777781</v>
      </c>
      <c r="I53" s="63">
        <v>0.58680555555555558</v>
      </c>
      <c r="J53" s="30">
        <f t="shared" si="0"/>
        <v>6.5277777777777768E-2</v>
      </c>
      <c r="K53" s="30" t="str">
        <f t="shared" si="1"/>
        <v>Passed</v>
      </c>
      <c r="L53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53" s="62"/>
    </row>
    <row r="54" spans="1:28">
      <c r="A54" s="15">
        <v>49</v>
      </c>
      <c r="B54" s="121" t="s">
        <v>57</v>
      </c>
      <c r="C54" s="122" t="s">
        <v>218</v>
      </c>
      <c r="D54" s="122" t="s">
        <v>130</v>
      </c>
      <c r="E54" s="122" t="s">
        <v>148</v>
      </c>
      <c r="F54" s="33" t="s">
        <v>31</v>
      </c>
      <c r="G54" s="33">
        <v>36000</v>
      </c>
      <c r="H54" s="63">
        <v>0.52500000000000002</v>
      </c>
      <c r="I54" s="63">
        <v>0.60416666666666663</v>
      </c>
      <c r="J54" s="30">
        <f t="shared" si="0"/>
        <v>7.9166666666666607E-2</v>
      </c>
      <c r="K54" s="30" t="str">
        <f t="shared" si="1"/>
        <v>No Remarks</v>
      </c>
      <c r="L54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54" s="62"/>
    </row>
    <row r="55" spans="1:28">
      <c r="A55" s="15">
        <v>50</v>
      </c>
      <c r="B55" s="121" t="s">
        <v>57</v>
      </c>
      <c r="C55" s="122" t="s">
        <v>289</v>
      </c>
      <c r="D55" s="122" t="s">
        <v>61</v>
      </c>
      <c r="E55" s="122" t="s">
        <v>390</v>
      </c>
      <c r="F55" s="33" t="s">
        <v>31</v>
      </c>
      <c r="G55" s="33">
        <v>54000</v>
      </c>
      <c r="H55" s="63">
        <v>0.52430555555555558</v>
      </c>
      <c r="I55" s="63">
        <v>0.61249999999999993</v>
      </c>
      <c r="J55" s="30">
        <f t="shared" si="0"/>
        <v>8.8194444444444353E-2</v>
      </c>
      <c r="K55" s="30" t="str">
        <f t="shared" si="1"/>
        <v>Failed</v>
      </c>
      <c r="L55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x6</v>
      </c>
      <c r="M55" s="31" t="s">
        <v>354</v>
      </c>
    </row>
    <row r="56" spans="1:28">
      <c r="A56" s="15">
        <v>51</v>
      </c>
      <c r="B56" s="121" t="s">
        <v>57</v>
      </c>
      <c r="C56" s="122" t="s">
        <v>327</v>
      </c>
      <c r="D56" s="122" t="s">
        <v>130</v>
      </c>
      <c r="E56" s="122" t="s">
        <v>148</v>
      </c>
      <c r="F56" s="33" t="s">
        <v>31</v>
      </c>
      <c r="G56" s="33">
        <v>54000</v>
      </c>
      <c r="H56" s="63">
        <v>0.50694444444444442</v>
      </c>
      <c r="I56" s="63">
        <v>0.58611111111111114</v>
      </c>
      <c r="J56" s="30">
        <f t="shared" si="0"/>
        <v>7.9166666666666718E-2</v>
      </c>
      <c r="K56" s="30" t="str">
        <f t="shared" si="1"/>
        <v>Failed</v>
      </c>
      <c r="L56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56" s="31" t="s">
        <v>354</v>
      </c>
    </row>
    <row r="57" spans="1:28">
      <c r="A57" s="15">
        <v>52</v>
      </c>
      <c r="B57" s="121" t="s">
        <v>57</v>
      </c>
      <c r="C57" s="122" t="s">
        <v>475</v>
      </c>
      <c r="D57" s="122" t="s">
        <v>130</v>
      </c>
      <c r="E57" s="122" t="s">
        <v>148</v>
      </c>
      <c r="F57" s="33" t="s">
        <v>24</v>
      </c>
      <c r="G57" s="33">
        <v>27000</v>
      </c>
      <c r="H57" s="63">
        <v>0.52083333333333337</v>
      </c>
      <c r="I57" s="63">
        <v>0.5805555555555556</v>
      </c>
      <c r="J57" s="30">
        <f t="shared" si="0"/>
        <v>5.9722222222222232E-2</v>
      </c>
      <c r="K57" s="30" t="str">
        <f t="shared" si="1"/>
        <v>No Remarks</v>
      </c>
      <c r="L57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57" s="62"/>
    </row>
    <row r="58" spans="1:28">
      <c r="A58" s="15">
        <v>53</v>
      </c>
      <c r="B58" s="121" t="s">
        <v>57</v>
      </c>
      <c r="C58" s="122" t="s">
        <v>246</v>
      </c>
      <c r="D58" s="122" t="s">
        <v>130</v>
      </c>
      <c r="E58" s="122" t="s">
        <v>148</v>
      </c>
      <c r="F58" s="33" t="s">
        <v>24</v>
      </c>
      <c r="G58" s="33">
        <v>27000</v>
      </c>
      <c r="H58" s="63">
        <v>0.52847222222222223</v>
      </c>
      <c r="I58" s="63">
        <v>0.58333333333333337</v>
      </c>
      <c r="J58" s="30">
        <f t="shared" si="0"/>
        <v>5.4861111111111138E-2</v>
      </c>
      <c r="K58" s="30" t="str">
        <f t="shared" si="1"/>
        <v>No Remarks</v>
      </c>
      <c r="L58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58" s="62"/>
    </row>
    <row r="59" spans="1:28">
      <c r="A59" s="15">
        <v>54</v>
      </c>
      <c r="B59" s="121" t="s">
        <v>57</v>
      </c>
      <c r="C59" s="122" t="s">
        <v>332</v>
      </c>
      <c r="D59" s="122" t="s">
        <v>130</v>
      </c>
      <c r="E59" s="122" t="s">
        <v>148</v>
      </c>
      <c r="F59" s="33" t="s">
        <v>24</v>
      </c>
      <c r="G59" s="33">
        <v>54000</v>
      </c>
      <c r="H59" s="63">
        <v>0.50347222222222221</v>
      </c>
      <c r="I59" s="63">
        <v>0.58263888888888882</v>
      </c>
      <c r="J59" s="30">
        <f t="shared" si="0"/>
        <v>7.9166666666666607E-2</v>
      </c>
      <c r="K59" s="30" t="str">
        <f t="shared" si="1"/>
        <v>Failed</v>
      </c>
      <c r="L59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59" s="62" t="s">
        <v>358</v>
      </c>
    </row>
    <row r="60" spans="1:28">
      <c r="A60" s="15">
        <v>55</v>
      </c>
      <c r="B60" s="121" t="s">
        <v>57</v>
      </c>
      <c r="C60" s="122" t="s">
        <v>400</v>
      </c>
      <c r="D60" s="122" t="s">
        <v>130</v>
      </c>
      <c r="E60" s="122" t="s">
        <v>148</v>
      </c>
      <c r="F60" s="33" t="s">
        <v>31</v>
      </c>
      <c r="G60" s="33">
        <v>27000</v>
      </c>
      <c r="H60" s="63">
        <v>0.52222222222222225</v>
      </c>
      <c r="I60" s="63">
        <v>0.58333333333333337</v>
      </c>
      <c r="J60" s="30">
        <f t="shared" si="0"/>
        <v>6.1111111111111116E-2</v>
      </c>
      <c r="K60" s="30" t="str">
        <f t="shared" si="1"/>
        <v>No Remarks</v>
      </c>
      <c r="L60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60" s="62"/>
    </row>
    <row r="61" spans="1:28" ht="15.75">
      <c r="A61" s="15">
        <v>56</v>
      </c>
      <c r="B61" s="121" t="s">
        <v>57</v>
      </c>
      <c r="C61" s="122" t="s">
        <v>129</v>
      </c>
      <c r="D61" s="122" t="s">
        <v>130</v>
      </c>
      <c r="E61" s="122" t="s">
        <v>148</v>
      </c>
      <c r="F61" s="33" t="s">
        <v>24</v>
      </c>
      <c r="G61" s="33">
        <v>27000</v>
      </c>
      <c r="H61" s="63">
        <v>0.52013888888888882</v>
      </c>
      <c r="I61" s="63">
        <v>0.57916666666666672</v>
      </c>
      <c r="J61" s="30">
        <f t="shared" si="0"/>
        <v>5.9027777777777901E-2</v>
      </c>
      <c r="K61" s="30" t="str">
        <f t="shared" si="1"/>
        <v>No Remarks</v>
      </c>
      <c r="L61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61" s="62"/>
      <c r="O61" s="37" t="s">
        <v>356</v>
      </c>
    </row>
    <row r="62" spans="1:28">
      <c r="A62" s="15">
        <v>57</v>
      </c>
      <c r="B62" s="121" t="s">
        <v>57</v>
      </c>
      <c r="C62" s="122" t="s">
        <v>262</v>
      </c>
      <c r="D62" s="122" t="s">
        <v>130</v>
      </c>
      <c r="E62" s="122" t="s">
        <v>148</v>
      </c>
      <c r="F62" s="33" t="s">
        <v>24</v>
      </c>
      <c r="G62" s="33">
        <v>31500</v>
      </c>
      <c r="H62" s="63">
        <v>0.50416666666666665</v>
      </c>
      <c r="I62" s="63">
        <v>0.56388888888888888</v>
      </c>
      <c r="J62" s="30">
        <f t="shared" si="0"/>
        <v>5.9722222222222232E-2</v>
      </c>
      <c r="K62" s="30" t="str">
        <f t="shared" si="1"/>
        <v>No Remarks</v>
      </c>
      <c r="L62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62" s="62"/>
      <c r="O62" s="35" t="s">
        <v>354</v>
      </c>
      <c r="P62" s="35" t="s">
        <v>357</v>
      </c>
      <c r="Q62" s="35" t="s">
        <v>358</v>
      </c>
      <c r="R62" s="35" t="s">
        <v>359</v>
      </c>
      <c r="S62" s="35" t="s">
        <v>360</v>
      </c>
      <c r="T62" s="35" t="s">
        <v>361</v>
      </c>
      <c r="U62" s="35" t="s">
        <v>362</v>
      </c>
      <c r="V62" s="35" t="s">
        <v>363</v>
      </c>
      <c r="W62" s="35" t="s">
        <v>364</v>
      </c>
      <c r="X62" s="35" t="s">
        <v>353</v>
      </c>
      <c r="Y62" s="35" t="s">
        <v>352</v>
      </c>
      <c r="Z62" s="35" t="s">
        <v>365</v>
      </c>
      <c r="AA62" s="42" t="s">
        <v>388</v>
      </c>
      <c r="AB62" s="43"/>
    </row>
    <row r="63" spans="1:28" s="2" customFormat="1" ht="28.5">
      <c r="A63" s="15">
        <v>58</v>
      </c>
      <c r="B63" s="121" t="s">
        <v>57</v>
      </c>
      <c r="C63" s="122" t="s">
        <v>175</v>
      </c>
      <c r="D63" s="122" t="s">
        <v>61</v>
      </c>
      <c r="E63" s="122" t="s">
        <v>390</v>
      </c>
      <c r="F63" s="33" t="s">
        <v>31</v>
      </c>
      <c r="G63" s="33">
        <v>54000</v>
      </c>
      <c r="H63" s="63">
        <v>0.50486111111111109</v>
      </c>
      <c r="I63" s="63">
        <v>0.56458333333333333</v>
      </c>
      <c r="J63" s="30">
        <f t="shared" si="0"/>
        <v>5.9722222222222232E-2</v>
      </c>
      <c r="K63" s="30" t="str">
        <f t="shared" si="1"/>
        <v>Passed</v>
      </c>
      <c r="L63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63" s="62"/>
      <c r="O63" s="38" t="s">
        <v>366</v>
      </c>
      <c r="P63" s="38" t="s">
        <v>367</v>
      </c>
      <c r="Q63" s="38" t="s">
        <v>368</v>
      </c>
      <c r="R63" s="38" t="s">
        <v>369</v>
      </c>
      <c r="S63" s="38" t="s">
        <v>370</v>
      </c>
      <c r="T63" s="38" t="s">
        <v>371</v>
      </c>
      <c r="U63" s="38" t="s">
        <v>372</v>
      </c>
      <c r="V63" s="38" t="s">
        <v>373</v>
      </c>
      <c r="W63" s="38" t="s">
        <v>374</v>
      </c>
      <c r="X63" s="38" t="s">
        <v>375</v>
      </c>
      <c r="Y63" s="38" t="s">
        <v>376</v>
      </c>
      <c r="Z63" s="38" t="s">
        <v>377</v>
      </c>
      <c r="AA63" s="44" t="s">
        <v>389</v>
      </c>
      <c r="AB63" s="45"/>
    </row>
    <row r="64" spans="1:28">
      <c r="A64" s="15">
        <v>59</v>
      </c>
      <c r="B64" s="121" t="s">
        <v>57</v>
      </c>
      <c r="C64" s="122" t="s">
        <v>444</v>
      </c>
      <c r="D64" s="122" t="s">
        <v>130</v>
      </c>
      <c r="E64" s="122" t="s">
        <v>148</v>
      </c>
      <c r="F64" s="33" t="s">
        <v>24</v>
      </c>
      <c r="G64" s="33">
        <v>54000</v>
      </c>
      <c r="H64" s="63">
        <v>0.49027777777777781</v>
      </c>
      <c r="I64" s="63">
        <v>0.5708333333333333</v>
      </c>
      <c r="J64" s="30">
        <f t="shared" si="0"/>
        <v>8.0555555555555491E-2</v>
      </c>
      <c r="K64" s="30" t="str">
        <f t="shared" si="1"/>
        <v>Failed</v>
      </c>
      <c r="L64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64" s="62" t="s">
        <v>358</v>
      </c>
      <c r="O64" s="33">
        <f>COUNTIF(April28_20232442[CR],O62)</f>
        <v>12</v>
      </c>
      <c r="P64" s="33">
        <f>COUNTIF(April28_20232442[CR],P62)</f>
        <v>0</v>
      </c>
      <c r="Q64" s="33">
        <f>COUNTIF(April28_20232442[CR],Q62)</f>
        <v>5</v>
      </c>
      <c r="R64" s="33">
        <f>COUNTIF(April28_20232442[CR],R62)</f>
        <v>0</v>
      </c>
      <c r="S64" s="33">
        <f>COUNTIF(April28_20232442[CR],S62)</f>
        <v>0</v>
      </c>
      <c r="T64" s="33">
        <f>COUNTIF(April28_20232442[CR],T62)</f>
        <v>0</v>
      </c>
      <c r="U64" s="33">
        <f>COUNTIF(April28_20232442[CR],U62)</f>
        <v>0</v>
      </c>
      <c r="V64" s="33">
        <f>COUNTIF(April28_20232442[CR],V62)</f>
        <v>0</v>
      </c>
      <c r="W64" s="33">
        <f>COUNTIF(April28_20232442[CR],W62)</f>
        <v>0</v>
      </c>
      <c r="X64" s="33">
        <f>COUNTIF(April28_20232442[CR],X62)</f>
        <v>0</v>
      </c>
      <c r="Y64" s="33">
        <f>COUNTIF(April28_20232442[CR],Y62)</f>
        <v>0</v>
      </c>
      <c r="Z64" s="33">
        <f>COUNTIF(April28_20232442[CR],Z62)</f>
        <v>0</v>
      </c>
      <c r="AA64" s="46">
        <f>COUNTIF(April28_20232442[CR],AA62)</f>
        <v>0</v>
      </c>
      <c r="AB64" s="47"/>
    </row>
    <row r="65" spans="1:28" ht="15.75">
      <c r="A65" s="15">
        <v>60</v>
      </c>
      <c r="B65" s="121" t="s">
        <v>57</v>
      </c>
      <c r="C65" s="122" t="s">
        <v>244</v>
      </c>
      <c r="D65" s="122" t="s">
        <v>130</v>
      </c>
      <c r="E65" s="122" t="s">
        <v>148</v>
      </c>
      <c r="F65" s="33" t="s">
        <v>24</v>
      </c>
      <c r="G65" s="33">
        <v>13500</v>
      </c>
      <c r="H65" s="63">
        <v>0.50555555555555554</v>
      </c>
      <c r="I65" s="63">
        <v>0.5541666666666667</v>
      </c>
      <c r="J65" s="30">
        <f t="shared" si="0"/>
        <v>4.861111111111116E-2</v>
      </c>
      <c r="K65" s="30" t="str">
        <f t="shared" si="1"/>
        <v>No Remarks</v>
      </c>
      <c r="L65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x2</v>
      </c>
      <c r="M65" s="62"/>
      <c r="O65" s="36" t="s">
        <v>28</v>
      </c>
      <c r="P65" s="36">
        <f>SUM(O64:Z64)</f>
        <v>17</v>
      </c>
      <c r="Q65" s="33"/>
      <c r="R65" s="33"/>
      <c r="S65" s="33"/>
      <c r="T65" s="33"/>
      <c r="U65" s="35"/>
      <c r="V65" s="35"/>
      <c r="W65" s="41"/>
      <c r="X65" s="33"/>
      <c r="Y65" s="33"/>
      <c r="Z65" s="33"/>
      <c r="AA65" s="46"/>
      <c r="AB65" s="47"/>
    </row>
    <row r="66" spans="1:28">
      <c r="A66" s="15">
        <v>61</v>
      </c>
      <c r="B66" s="121" t="s">
        <v>57</v>
      </c>
      <c r="C66" s="122" t="s">
        <v>62</v>
      </c>
      <c r="D66" s="122" t="s">
        <v>61</v>
      </c>
      <c r="E66" s="122" t="s">
        <v>390</v>
      </c>
      <c r="F66" s="33" t="s">
        <v>31</v>
      </c>
      <c r="G66" s="33">
        <v>50000</v>
      </c>
      <c r="H66" s="63">
        <v>0.4770833333333333</v>
      </c>
      <c r="I66" s="63">
        <v>0.57291666666666663</v>
      </c>
      <c r="J66" s="30">
        <f t="shared" si="0"/>
        <v>9.5833333333333326E-2</v>
      </c>
      <c r="K66" s="30" t="str">
        <f t="shared" si="1"/>
        <v>Failed</v>
      </c>
      <c r="L66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x7</v>
      </c>
      <c r="M66" s="31" t="s">
        <v>354</v>
      </c>
    </row>
    <row r="67" spans="1:28">
      <c r="A67" s="15">
        <v>62</v>
      </c>
      <c r="B67" s="121" t="s">
        <v>57</v>
      </c>
      <c r="C67" s="122" t="s">
        <v>274</v>
      </c>
      <c r="D67" s="122" t="s">
        <v>130</v>
      </c>
      <c r="E67" s="122" t="s">
        <v>148</v>
      </c>
      <c r="F67" s="33" t="s">
        <v>24</v>
      </c>
      <c r="G67" s="33">
        <v>36000</v>
      </c>
      <c r="H67" s="63">
        <v>0.4916666666666667</v>
      </c>
      <c r="I67" s="63">
        <v>0.55625000000000002</v>
      </c>
      <c r="J67" s="30">
        <f t="shared" si="0"/>
        <v>6.4583333333333326E-2</v>
      </c>
      <c r="K67" s="30" t="str">
        <f t="shared" si="1"/>
        <v>No Remarks</v>
      </c>
      <c r="L67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67" s="62"/>
    </row>
    <row r="68" spans="1:28" s="3" customFormat="1">
      <c r="A68" s="15">
        <v>63</v>
      </c>
      <c r="B68" s="121" t="s">
        <v>57</v>
      </c>
      <c r="C68" s="122" t="s">
        <v>462</v>
      </c>
      <c r="D68" s="122" t="s">
        <v>346</v>
      </c>
      <c r="E68" s="122" t="s">
        <v>71</v>
      </c>
      <c r="F68" s="33" t="s">
        <v>31</v>
      </c>
      <c r="G68" s="33">
        <v>13500</v>
      </c>
      <c r="H68" s="63">
        <v>0.50624999999999998</v>
      </c>
      <c r="I68" s="63">
        <v>0.55277777777777781</v>
      </c>
      <c r="J68" s="30">
        <f t="shared" si="0"/>
        <v>4.6527777777777835E-2</v>
      </c>
      <c r="K68" s="30" t="str">
        <f t="shared" si="1"/>
        <v>No Remarks</v>
      </c>
      <c r="L68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x2</v>
      </c>
      <c r="M68" s="62"/>
    </row>
    <row r="69" spans="1:28" s="3" customFormat="1">
      <c r="A69" s="15">
        <v>64</v>
      </c>
      <c r="B69" s="121" t="s">
        <v>57</v>
      </c>
      <c r="C69" s="122" t="s">
        <v>322</v>
      </c>
      <c r="D69" s="122" t="s">
        <v>130</v>
      </c>
      <c r="E69" s="122" t="s">
        <v>148</v>
      </c>
      <c r="F69" s="33" t="s">
        <v>24</v>
      </c>
      <c r="G69" s="33">
        <v>36000</v>
      </c>
      <c r="H69" s="63">
        <v>0.47500000000000003</v>
      </c>
      <c r="I69" s="63">
        <v>0.55208333333333337</v>
      </c>
      <c r="J69" s="30">
        <f t="shared" si="0"/>
        <v>7.7083333333333337E-2</v>
      </c>
      <c r="K69" s="30" t="str">
        <f t="shared" si="1"/>
        <v>No Remarks</v>
      </c>
      <c r="L69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69" s="62"/>
    </row>
    <row r="70" spans="1:28" s="3" customFormat="1">
      <c r="A70" s="15">
        <v>65</v>
      </c>
      <c r="B70" s="121" t="s">
        <v>57</v>
      </c>
      <c r="C70" s="122" t="s">
        <v>258</v>
      </c>
      <c r="D70" s="122" t="s">
        <v>61</v>
      </c>
      <c r="E70" s="122" t="s">
        <v>390</v>
      </c>
      <c r="F70" s="33" t="s">
        <v>31</v>
      </c>
      <c r="G70" s="33">
        <v>54000</v>
      </c>
      <c r="H70" s="63">
        <v>0.46666666666666662</v>
      </c>
      <c r="I70" s="63">
        <v>0.55555555555555558</v>
      </c>
      <c r="J70" s="30">
        <f t="shared" ref="J70:J95" si="2">I70-H70</f>
        <v>8.8888888888888962E-2</v>
      </c>
      <c r="K70" s="30" t="str">
        <f t="shared" ref="K70:K95" si="3">IF(G70&lt;$H$3,"No Remarks",IF(AND(G70&gt;=$H$3,J70&lt;=$D$3),"Passed","Failed"))</f>
        <v>Failed</v>
      </c>
      <c r="L70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x6</v>
      </c>
      <c r="M70" s="31" t="s">
        <v>354</v>
      </c>
    </row>
    <row r="71" spans="1:28" s="3" customFormat="1">
      <c r="A71" s="15">
        <v>66</v>
      </c>
      <c r="B71" s="121" t="s">
        <v>57</v>
      </c>
      <c r="C71" s="122" t="s">
        <v>164</v>
      </c>
      <c r="D71" s="122" t="s">
        <v>130</v>
      </c>
      <c r="E71" s="122" t="s">
        <v>148</v>
      </c>
      <c r="F71" s="33" t="s">
        <v>31</v>
      </c>
      <c r="G71" s="33">
        <v>45000</v>
      </c>
      <c r="H71" s="63">
        <v>0.47638888888888892</v>
      </c>
      <c r="I71" s="63">
        <v>0.55555555555555558</v>
      </c>
      <c r="J71" s="30">
        <f t="shared" si="2"/>
        <v>7.9166666666666663E-2</v>
      </c>
      <c r="K71" s="30" t="str">
        <f t="shared" si="3"/>
        <v>Failed</v>
      </c>
      <c r="L71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71" s="31" t="s">
        <v>354</v>
      </c>
    </row>
    <row r="72" spans="1:28" s="3" customFormat="1">
      <c r="A72" s="15">
        <v>67</v>
      </c>
      <c r="B72" s="121" t="s">
        <v>57</v>
      </c>
      <c r="C72" s="122" t="s">
        <v>407</v>
      </c>
      <c r="D72" s="122" t="s">
        <v>130</v>
      </c>
      <c r="E72" s="122" t="s">
        <v>148</v>
      </c>
      <c r="F72" s="33" t="s">
        <v>24</v>
      </c>
      <c r="G72" s="33">
        <v>36000</v>
      </c>
      <c r="H72" s="63">
        <v>0.47569444444444442</v>
      </c>
      <c r="I72" s="63">
        <v>0.52777777777777779</v>
      </c>
      <c r="J72" s="30">
        <f t="shared" si="2"/>
        <v>5.208333333333337E-2</v>
      </c>
      <c r="K72" s="30" t="str">
        <f t="shared" si="3"/>
        <v>No Remarks</v>
      </c>
      <c r="L72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72" s="62"/>
    </row>
    <row r="73" spans="1:28" s="3" customFormat="1">
      <c r="A73" s="15">
        <v>68</v>
      </c>
      <c r="B73" s="121" t="s">
        <v>57</v>
      </c>
      <c r="C73" s="122" t="s">
        <v>245</v>
      </c>
      <c r="D73" s="122" t="s">
        <v>130</v>
      </c>
      <c r="E73" s="122" t="s">
        <v>148</v>
      </c>
      <c r="F73" s="33" t="s">
        <v>24</v>
      </c>
      <c r="G73" s="33">
        <v>27000</v>
      </c>
      <c r="H73" s="63">
        <v>0.4909722222222222</v>
      </c>
      <c r="I73" s="63">
        <v>0.55138888888888882</v>
      </c>
      <c r="J73" s="30">
        <f t="shared" si="2"/>
        <v>6.0416666666666619E-2</v>
      </c>
      <c r="K73" s="30" t="str">
        <f t="shared" si="3"/>
        <v>No Remarks</v>
      </c>
      <c r="L73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73" s="62"/>
    </row>
    <row r="74" spans="1:28" s="3" customFormat="1">
      <c r="A74" s="15">
        <v>69</v>
      </c>
      <c r="B74" s="121" t="s">
        <v>57</v>
      </c>
      <c r="C74" s="122" t="s">
        <v>67</v>
      </c>
      <c r="D74" s="122" t="s">
        <v>61</v>
      </c>
      <c r="E74" s="122" t="s">
        <v>390</v>
      </c>
      <c r="F74" s="33" t="s">
        <v>31</v>
      </c>
      <c r="G74" s="33">
        <v>54000</v>
      </c>
      <c r="H74" s="63">
        <v>0.44722222222222219</v>
      </c>
      <c r="I74" s="63">
        <v>0.52847222222222223</v>
      </c>
      <c r="J74" s="30">
        <f t="shared" si="2"/>
        <v>8.1250000000000044E-2</v>
      </c>
      <c r="K74" s="30" t="str">
        <f t="shared" si="3"/>
        <v>Failed</v>
      </c>
      <c r="L74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74" s="31" t="s">
        <v>354</v>
      </c>
    </row>
    <row r="75" spans="1:28" s="3" customFormat="1">
      <c r="A75" s="15">
        <v>70</v>
      </c>
      <c r="B75" s="121" t="s">
        <v>57</v>
      </c>
      <c r="C75" s="122" t="s">
        <v>395</v>
      </c>
      <c r="D75" s="122" t="s">
        <v>130</v>
      </c>
      <c r="E75" s="122" t="s">
        <v>148</v>
      </c>
      <c r="F75" s="33" t="s">
        <v>24</v>
      </c>
      <c r="G75" s="33">
        <v>36000</v>
      </c>
      <c r="H75" s="63">
        <v>0.46388888888888885</v>
      </c>
      <c r="I75" s="63">
        <v>0.52430555555555558</v>
      </c>
      <c r="J75" s="30">
        <f t="shared" si="2"/>
        <v>6.041666666666673E-2</v>
      </c>
      <c r="K75" s="30" t="str">
        <f t="shared" si="3"/>
        <v>No Remarks</v>
      </c>
      <c r="L75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75" s="62"/>
    </row>
    <row r="76" spans="1:28">
      <c r="A76" s="15">
        <v>71</v>
      </c>
      <c r="B76" s="121" t="s">
        <v>57</v>
      </c>
      <c r="C76" s="122" t="s">
        <v>339</v>
      </c>
      <c r="D76" s="122" t="s">
        <v>61</v>
      </c>
      <c r="E76" s="122" t="s">
        <v>390</v>
      </c>
      <c r="F76" s="33" t="s">
        <v>31</v>
      </c>
      <c r="G76" s="33">
        <v>54000</v>
      </c>
      <c r="H76" s="63">
        <v>0.46597222222222223</v>
      </c>
      <c r="I76" s="63">
        <v>0.52569444444444446</v>
      </c>
      <c r="J76" s="30">
        <f t="shared" si="2"/>
        <v>5.9722222222222232E-2</v>
      </c>
      <c r="K76" s="30" t="str">
        <f t="shared" si="3"/>
        <v>Passed</v>
      </c>
      <c r="L76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76" s="62"/>
    </row>
    <row r="77" spans="1:28">
      <c r="A77" s="15">
        <v>72</v>
      </c>
      <c r="B77" s="121" t="s">
        <v>57</v>
      </c>
      <c r="C77" s="122" t="s">
        <v>131</v>
      </c>
      <c r="D77" s="122" t="s">
        <v>130</v>
      </c>
      <c r="E77" s="122" t="s">
        <v>148</v>
      </c>
      <c r="F77" s="33" t="s">
        <v>24</v>
      </c>
      <c r="G77" s="33">
        <v>54000</v>
      </c>
      <c r="H77" s="63">
        <v>0.45902777777777781</v>
      </c>
      <c r="I77" s="63">
        <v>0.53125</v>
      </c>
      <c r="J77" s="30">
        <f t="shared" si="2"/>
        <v>7.2222222222222188E-2</v>
      </c>
      <c r="K77" s="30" t="str">
        <f t="shared" si="3"/>
        <v>Passed</v>
      </c>
      <c r="L77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77" s="62"/>
    </row>
    <row r="78" spans="1:28">
      <c r="A78" s="15">
        <v>73</v>
      </c>
      <c r="B78" s="121" t="s">
        <v>57</v>
      </c>
      <c r="C78" s="122" t="s">
        <v>275</v>
      </c>
      <c r="D78" s="122" t="s">
        <v>130</v>
      </c>
      <c r="E78" s="122" t="s">
        <v>148</v>
      </c>
      <c r="F78" s="33" t="s">
        <v>24</v>
      </c>
      <c r="G78" s="33">
        <v>31500</v>
      </c>
      <c r="H78" s="63">
        <v>0.46458333333333335</v>
      </c>
      <c r="I78" s="63">
        <v>0.51874999999999993</v>
      </c>
      <c r="J78" s="30">
        <f t="shared" si="2"/>
        <v>5.4166666666666585E-2</v>
      </c>
      <c r="K78" s="30" t="str">
        <f t="shared" si="3"/>
        <v>No Remarks</v>
      </c>
      <c r="L78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78" s="62"/>
    </row>
    <row r="79" spans="1:28">
      <c r="A79" s="15">
        <v>74</v>
      </c>
      <c r="B79" s="121" t="s">
        <v>57</v>
      </c>
      <c r="C79" s="122" t="s">
        <v>247</v>
      </c>
      <c r="D79" s="122" t="s">
        <v>130</v>
      </c>
      <c r="E79" s="122" t="s">
        <v>148</v>
      </c>
      <c r="F79" s="33" t="s">
        <v>24</v>
      </c>
      <c r="G79" s="33">
        <v>31500</v>
      </c>
      <c r="H79" s="63">
        <v>0.44027777777777777</v>
      </c>
      <c r="I79" s="63">
        <v>0.51388888888888895</v>
      </c>
      <c r="J79" s="30">
        <f t="shared" si="2"/>
        <v>7.3611111111111183E-2</v>
      </c>
      <c r="K79" s="30" t="str">
        <f t="shared" si="3"/>
        <v>No Remarks</v>
      </c>
      <c r="L79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79" s="62"/>
    </row>
    <row r="80" spans="1:28">
      <c r="A80" s="15">
        <v>75</v>
      </c>
      <c r="B80" s="121" t="s">
        <v>57</v>
      </c>
      <c r="C80" s="122" t="s">
        <v>406</v>
      </c>
      <c r="D80" s="122" t="s">
        <v>130</v>
      </c>
      <c r="E80" s="122" t="s">
        <v>148</v>
      </c>
      <c r="F80" s="33" t="s">
        <v>24</v>
      </c>
      <c r="G80" s="33">
        <v>45000</v>
      </c>
      <c r="H80" s="63">
        <v>0.45833333333333331</v>
      </c>
      <c r="I80" s="63">
        <v>0.52152777777777781</v>
      </c>
      <c r="J80" s="30">
        <f t="shared" si="2"/>
        <v>6.3194444444444497E-2</v>
      </c>
      <c r="K80" s="30" t="str">
        <f t="shared" si="3"/>
        <v>Passed</v>
      </c>
      <c r="L80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80" s="62"/>
    </row>
    <row r="81" spans="1:13">
      <c r="A81" s="15">
        <v>76</v>
      </c>
      <c r="B81" s="121" t="s">
        <v>57</v>
      </c>
      <c r="C81" s="122" t="s">
        <v>243</v>
      </c>
      <c r="D81" s="122" t="s">
        <v>61</v>
      </c>
      <c r="E81" s="122" t="s">
        <v>390</v>
      </c>
      <c r="F81" s="33" t="s">
        <v>31</v>
      </c>
      <c r="G81" s="33">
        <v>54000</v>
      </c>
      <c r="H81" s="63">
        <v>0.4465277777777778</v>
      </c>
      <c r="I81" s="63">
        <v>0.50763888888888886</v>
      </c>
      <c r="J81" s="30">
        <f t="shared" si="2"/>
        <v>6.1111111111111061E-2</v>
      </c>
      <c r="K81" s="30" t="str">
        <f t="shared" si="3"/>
        <v>Passed</v>
      </c>
      <c r="L81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81" s="62"/>
    </row>
    <row r="82" spans="1:13">
      <c r="A82" s="15">
        <v>77</v>
      </c>
      <c r="B82" s="121" t="s">
        <v>57</v>
      </c>
      <c r="C82" s="122" t="s">
        <v>65</v>
      </c>
      <c r="D82" s="122" t="s">
        <v>393</v>
      </c>
      <c r="E82" s="122" t="s">
        <v>66</v>
      </c>
      <c r="F82" s="33" t="s">
        <v>24</v>
      </c>
      <c r="G82" s="33">
        <v>13500</v>
      </c>
      <c r="H82" s="63">
        <v>0.45902777777777781</v>
      </c>
      <c r="I82" s="63">
        <v>0.50902777777777775</v>
      </c>
      <c r="J82" s="30">
        <f t="shared" si="2"/>
        <v>4.9999999999999933E-2</v>
      </c>
      <c r="K82" s="30" t="str">
        <f t="shared" si="3"/>
        <v>No Remarks</v>
      </c>
      <c r="L82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x2</v>
      </c>
      <c r="M82" s="62"/>
    </row>
    <row r="83" spans="1:13">
      <c r="A83" s="15">
        <v>78</v>
      </c>
      <c r="B83" s="121" t="s">
        <v>57</v>
      </c>
      <c r="C83" s="122" t="s">
        <v>331</v>
      </c>
      <c r="D83" s="122" t="s">
        <v>130</v>
      </c>
      <c r="E83" s="122" t="s">
        <v>148</v>
      </c>
      <c r="F83" s="33" t="s">
        <v>24</v>
      </c>
      <c r="G83" s="33">
        <v>31500</v>
      </c>
      <c r="H83" s="63">
        <v>0.44097222222222227</v>
      </c>
      <c r="I83" s="63">
        <v>0.5131944444444444</v>
      </c>
      <c r="J83" s="30">
        <f t="shared" si="2"/>
        <v>7.2222222222222132E-2</v>
      </c>
      <c r="K83" s="30" t="str">
        <f t="shared" si="3"/>
        <v>No Remarks</v>
      </c>
      <c r="L83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83" s="62"/>
    </row>
    <row r="84" spans="1:13">
      <c r="A84" s="15">
        <v>79</v>
      </c>
      <c r="B84" s="121" t="s">
        <v>57</v>
      </c>
      <c r="C84" s="122" t="s">
        <v>398</v>
      </c>
      <c r="D84" s="122" t="s">
        <v>130</v>
      </c>
      <c r="E84" s="122" t="s">
        <v>148</v>
      </c>
      <c r="F84" s="33" t="s">
        <v>31</v>
      </c>
      <c r="G84" s="33">
        <v>13500</v>
      </c>
      <c r="H84" s="63">
        <v>0.46527777777777773</v>
      </c>
      <c r="I84" s="63">
        <v>0.5180555555555556</v>
      </c>
      <c r="J84" s="30">
        <f t="shared" si="2"/>
        <v>5.2777777777777868E-2</v>
      </c>
      <c r="K84" s="30" t="str">
        <f t="shared" si="3"/>
        <v>No Remarks</v>
      </c>
      <c r="L84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84" s="62"/>
    </row>
    <row r="85" spans="1:13">
      <c r="A85" s="15">
        <v>80</v>
      </c>
      <c r="B85" s="121" t="s">
        <v>57</v>
      </c>
      <c r="C85" s="122" t="s">
        <v>132</v>
      </c>
      <c r="D85" s="122" t="s">
        <v>61</v>
      </c>
      <c r="E85" s="122" t="s">
        <v>390</v>
      </c>
      <c r="F85" s="33" t="s">
        <v>31</v>
      </c>
      <c r="G85" s="33">
        <v>54000</v>
      </c>
      <c r="H85" s="63">
        <v>0.44375000000000003</v>
      </c>
      <c r="I85" s="63">
        <v>0.49652777777777773</v>
      </c>
      <c r="J85" s="30">
        <f t="shared" si="2"/>
        <v>5.2777777777777701E-2</v>
      </c>
      <c r="K85" s="30" t="str">
        <f t="shared" si="3"/>
        <v>Passed</v>
      </c>
      <c r="L85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85" s="62"/>
    </row>
    <row r="86" spans="1:13">
      <c r="A86" s="15">
        <v>81</v>
      </c>
      <c r="B86" s="121" t="s">
        <v>57</v>
      </c>
      <c r="C86" s="122" t="s">
        <v>147</v>
      </c>
      <c r="D86" s="122" t="s">
        <v>130</v>
      </c>
      <c r="E86" s="122" t="s">
        <v>148</v>
      </c>
      <c r="F86" s="33" t="s">
        <v>24</v>
      </c>
      <c r="G86" s="33">
        <v>27000</v>
      </c>
      <c r="H86" s="63">
        <v>0.44236111111111115</v>
      </c>
      <c r="I86" s="63">
        <v>0.49791666666666662</v>
      </c>
      <c r="J86" s="30">
        <f t="shared" si="2"/>
        <v>5.5555555555555469E-2</v>
      </c>
      <c r="K86" s="30" t="str">
        <f t="shared" si="3"/>
        <v>No Remarks</v>
      </c>
      <c r="L86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86" s="62"/>
    </row>
    <row r="87" spans="1:13">
      <c r="A87" s="15">
        <v>82</v>
      </c>
      <c r="B87" s="121" t="s">
        <v>57</v>
      </c>
      <c r="C87" s="122" t="s">
        <v>493</v>
      </c>
      <c r="D87" s="122" t="s">
        <v>346</v>
      </c>
      <c r="E87" s="122" t="s">
        <v>71</v>
      </c>
      <c r="F87" s="33" t="s">
        <v>31</v>
      </c>
      <c r="G87" s="33">
        <v>13500</v>
      </c>
      <c r="H87" s="63">
        <v>0.44722222222222219</v>
      </c>
      <c r="I87" s="63">
        <v>0.49861111111111112</v>
      </c>
      <c r="J87" s="30">
        <f t="shared" si="2"/>
        <v>5.1388888888888928E-2</v>
      </c>
      <c r="K87" s="30" t="str">
        <f t="shared" si="3"/>
        <v>No Remarks</v>
      </c>
      <c r="L87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x2</v>
      </c>
      <c r="M87" s="62"/>
    </row>
    <row r="88" spans="1:13" customFormat="1">
      <c r="A88" s="15">
        <v>83</v>
      </c>
      <c r="B88" s="121" t="s">
        <v>57</v>
      </c>
      <c r="C88" s="122" t="s">
        <v>263</v>
      </c>
      <c r="D88" s="122" t="s">
        <v>130</v>
      </c>
      <c r="E88" s="122" t="s">
        <v>148</v>
      </c>
      <c r="F88" s="33" t="s">
        <v>24</v>
      </c>
      <c r="G88" s="33">
        <v>13500</v>
      </c>
      <c r="H88" s="63">
        <v>0.43958333333333338</v>
      </c>
      <c r="I88" s="63">
        <v>0.49513888888888885</v>
      </c>
      <c r="J88" s="30">
        <f t="shared" si="2"/>
        <v>5.5555555555555469E-2</v>
      </c>
      <c r="K88" s="30" t="str">
        <f t="shared" si="3"/>
        <v>No Remarks</v>
      </c>
      <c r="L88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88" s="62"/>
    </row>
    <row r="89" spans="1:13">
      <c r="A89" s="15">
        <v>84</v>
      </c>
      <c r="B89" s="121" t="s">
        <v>57</v>
      </c>
      <c r="C89" s="122" t="s">
        <v>139</v>
      </c>
      <c r="D89" s="122" t="s">
        <v>130</v>
      </c>
      <c r="E89" s="122" t="s">
        <v>148</v>
      </c>
      <c r="F89" s="33" t="s">
        <v>31</v>
      </c>
      <c r="G89" s="33">
        <v>45000</v>
      </c>
      <c r="H89" s="63">
        <v>0.4069444444444445</v>
      </c>
      <c r="I89" s="63">
        <v>0.51944444444444449</v>
      </c>
      <c r="J89" s="30">
        <f t="shared" si="2"/>
        <v>0.11249999999999999</v>
      </c>
      <c r="K89" s="30" t="str">
        <f t="shared" si="3"/>
        <v>Failed</v>
      </c>
      <c r="L89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x8</v>
      </c>
      <c r="M89" s="31" t="s">
        <v>354</v>
      </c>
    </row>
    <row r="90" spans="1:13">
      <c r="A90" s="15">
        <v>85</v>
      </c>
      <c r="B90" s="121" t="s">
        <v>57</v>
      </c>
      <c r="C90" s="122" t="s">
        <v>115</v>
      </c>
      <c r="D90" s="122" t="s">
        <v>346</v>
      </c>
      <c r="E90" s="122" t="s">
        <v>71</v>
      </c>
      <c r="F90" s="33" t="s">
        <v>31</v>
      </c>
      <c r="G90" s="33">
        <v>36000</v>
      </c>
      <c r="H90" s="63">
        <v>0.40763888888888888</v>
      </c>
      <c r="I90" s="63">
        <v>0.48125000000000001</v>
      </c>
      <c r="J90" s="30">
        <f t="shared" si="2"/>
        <v>7.3611111111111127E-2</v>
      </c>
      <c r="K90" s="30" t="str">
        <f t="shared" si="3"/>
        <v>No Remarks</v>
      </c>
      <c r="L90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x5</v>
      </c>
      <c r="M90" s="62"/>
    </row>
    <row r="91" spans="1:13" s="1" customFormat="1">
      <c r="A91" s="15">
        <v>86</v>
      </c>
      <c r="B91" s="121" t="s">
        <v>57</v>
      </c>
      <c r="C91" s="122" t="s">
        <v>479</v>
      </c>
      <c r="D91" s="122" t="s">
        <v>130</v>
      </c>
      <c r="E91" s="122" t="s">
        <v>148</v>
      </c>
      <c r="F91" s="33" t="s">
        <v>24</v>
      </c>
      <c r="G91" s="33">
        <v>36000</v>
      </c>
      <c r="H91" s="63">
        <v>0.4381944444444445</v>
      </c>
      <c r="I91" s="63">
        <v>0.48958333333333331</v>
      </c>
      <c r="J91" s="30">
        <f t="shared" si="2"/>
        <v>5.1388888888888817E-2</v>
      </c>
      <c r="K91" s="30" t="str">
        <f t="shared" si="3"/>
        <v>No Remarks</v>
      </c>
      <c r="L91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x2</v>
      </c>
      <c r="M91" s="62"/>
    </row>
    <row r="92" spans="1:13">
      <c r="A92" s="15">
        <v>87</v>
      </c>
      <c r="B92" s="121" t="s">
        <v>57</v>
      </c>
      <c r="C92" s="122" t="s">
        <v>254</v>
      </c>
      <c r="D92" s="122" t="s">
        <v>130</v>
      </c>
      <c r="E92" s="122" t="s">
        <v>148</v>
      </c>
      <c r="F92" s="33" t="s">
        <v>31</v>
      </c>
      <c r="G92" s="33">
        <v>13500</v>
      </c>
      <c r="H92" s="63">
        <v>0.44444444444444442</v>
      </c>
      <c r="I92" s="63">
        <v>0.47916666666666669</v>
      </c>
      <c r="J92" s="30">
        <f t="shared" si="2"/>
        <v>3.4722222222222265E-2</v>
      </c>
      <c r="K92" s="30" t="str">
        <f t="shared" si="3"/>
        <v>No Remarks</v>
      </c>
      <c r="L92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x1</v>
      </c>
      <c r="M92" s="62"/>
    </row>
    <row r="93" spans="1:13">
      <c r="A93" s="15">
        <v>88</v>
      </c>
      <c r="B93" s="121" t="s">
        <v>57</v>
      </c>
      <c r="C93" s="122" t="s">
        <v>399</v>
      </c>
      <c r="D93" s="122" t="s">
        <v>130</v>
      </c>
      <c r="E93" s="122" t="s">
        <v>426</v>
      </c>
      <c r="F93" s="33" t="s">
        <v>31</v>
      </c>
      <c r="G93" s="33">
        <v>36000</v>
      </c>
      <c r="H93" s="63">
        <v>0.40625</v>
      </c>
      <c r="I93" s="63">
        <v>0.47569444444444442</v>
      </c>
      <c r="J93" s="30">
        <f t="shared" si="2"/>
        <v>6.944444444444442E-2</v>
      </c>
      <c r="K93" s="30" t="str">
        <f t="shared" si="3"/>
        <v>No Remarks</v>
      </c>
      <c r="L93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x4</v>
      </c>
      <c r="M93" s="62"/>
    </row>
    <row r="94" spans="1:13">
      <c r="A94" s="15">
        <v>89</v>
      </c>
      <c r="B94" s="121" t="s">
        <v>57</v>
      </c>
      <c r="C94" s="122" t="s">
        <v>287</v>
      </c>
      <c r="D94" s="122" t="s">
        <v>346</v>
      </c>
      <c r="E94" s="122" t="s">
        <v>71</v>
      </c>
      <c r="F94" s="33" t="s">
        <v>31</v>
      </c>
      <c r="G94" s="33">
        <v>27000</v>
      </c>
      <c r="H94" s="63">
        <v>0.40902777777777777</v>
      </c>
      <c r="I94" s="63">
        <v>0.46875</v>
      </c>
      <c r="J94" s="30">
        <f t="shared" si="2"/>
        <v>5.9722222222222232E-2</v>
      </c>
      <c r="K94" s="30" t="str">
        <f t="shared" si="3"/>
        <v>No Remarks</v>
      </c>
      <c r="L94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94" s="62"/>
    </row>
    <row r="95" spans="1:13">
      <c r="A95" s="15">
        <v>90</v>
      </c>
      <c r="B95" s="121" t="s">
        <v>57</v>
      </c>
      <c r="C95" s="122" t="s">
        <v>440</v>
      </c>
      <c r="D95" s="122" t="s">
        <v>346</v>
      </c>
      <c r="E95" s="122" t="s">
        <v>71</v>
      </c>
      <c r="F95" s="33" t="s">
        <v>31</v>
      </c>
      <c r="G95" s="33">
        <v>13500</v>
      </c>
      <c r="H95" s="63">
        <v>0.40972222222222227</v>
      </c>
      <c r="I95" s="63">
        <v>0.4694444444444445</v>
      </c>
      <c r="J95" s="30">
        <f t="shared" si="2"/>
        <v>5.9722222222222232E-2</v>
      </c>
      <c r="K95" s="30" t="str">
        <f t="shared" si="3"/>
        <v>No Remarks</v>
      </c>
      <c r="L95" s="30" t="str">
        <f>IF(AND(April28_20232442[[#This Row],[TAT ]]&gt;=TIMEVALUE("0:00:00"),April28_20232442[[#This Row],[TAT ]]&lt;TIMEVALUE("1:00:00")),"x1",IF(AND(April28_20232442[[#This Row],[TAT ]]&gt;=TIMEVALUE("1:00:00"),April28_20232442[[#This Row],[TAT ]]&lt;TIMEVALUE("1:15:00")),"x2",IF(AND(April28_20232442[[#This Row],[TAT ]]&gt;=TIMEVALUE("1:15:00"),April28_20232442[[#This Row],[TAT ]]&lt;TIMEVALUE("1:30:00")),"x3",IF(AND(April28_20232442[[#This Row],[TAT ]]&gt;=TIMEVALUE("1:30:00"),April28_20232442[[#This Row],[TAT ]]&lt;TIMEVALUE("1:45:00")),"x4",IF(AND(April28_20232442[[#This Row],[TAT ]]&gt;=TIMEVALUE("1:45:00"),April28_20232442[[#This Row],[TAT ]]&lt;TIMEVALUE("2:00:00")),"x5",IF(AND(April28_20232442[[#This Row],[TAT ]]&gt;=TIMEVALUE("2:00:00"),April28_20232442[[#This Row],[TAT ]]&lt;TIMEVALUE("2:15:00")),"x6",IF(AND(April28_20232442[[#This Row],[TAT ]]&gt;=TIMEVALUE("2:15:00"),April28_20232442[[#This Row],[TAT ]]&lt;TIMEVALUE("2:30:00")),"x7",IF(AND(April28_20232442[[#This Row],[TAT ]]&gt;=TIMEVALUE("2:30:00"),April28_20232442[[#This Row],[TAT ]]&lt;TIMEVALUE("2:45:00")),"x8",IF(AND(April28_20232442[[#This Row],[TAT ]]&gt;=TIMEVALUE("2:45:00"),April28_20232442[[#This Row],[TAT ]]&lt;TIMEVALUE("3:00:00")),"x9","x10")))))))))</f>
        <v>x3</v>
      </c>
      <c r="M95" s="62"/>
    </row>
    <row r="96" spans="1:13" ht="18">
      <c r="A96" s="58"/>
      <c r="B96" s="58" t="s">
        <v>271</v>
      </c>
      <c r="C96" s="59"/>
      <c r="D96" s="59"/>
      <c r="E96" s="59"/>
      <c r="F96" s="59"/>
      <c r="G96" s="59"/>
      <c r="H96" s="60"/>
      <c r="I96" s="60"/>
      <c r="J96" s="61">
        <f>SUBTOTAL(101,April28_20232442[[TAT ]])</f>
        <v>6.4228395061728366E-2</v>
      </c>
      <c r="K96" s="53"/>
      <c r="L96" s="56"/>
      <c r="M96" s="53"/>
    </row>
    <row r="97" spans="15:21">
      <c r="O97" s="48"/>
    </row>
    <row r="98" spans="15:21">
      <c r="O98" s="49"/>
    </row>
    <row r="99" spans="15:21">
      <c r="O99" s="48"/>
      <c r="P99" s="49"/>
      <c r="Q99" s="49"/>
      <c r="R99" s="49"/>
      <c r="S99" s="49"/>
      <c r="T99" s="49"/>
      <c r="U99" s="49"/>
    </row>
    <row r="100" spans="15:21">
      <c r="O100" s="49"/>
      <c r="P100" s="49"/>
      <c r="Q100" s="49"/>
      <c r="R100" s="49"/>
      <c r="S100" s="49"/>
      <c r="T100" s="49"/>
      <c r="U100" s="49"/>
    </row>
    <row r="107" spans="15:21">
      <c r="O107" s="48" t="s">
        <v>326</v>
      </c>
    </row>
    <row r="108" spans="15:21">
      <c r="O108" s="49"/>
      <c r="P108" s="49"/>
      <c r="Q108" s="49"/>
      <c r="R108" s="49"/>
      <c r="S108" s="49"/>
      <c r="T108" s="49"/>
    </row>
    <row r="109" spans="15:21">
      <c r="O109" s="57"/>
    </row>
    <row r="187" spans="21:22">
      <c r="U187" s="52"/>
      <c r="V187" s="52"/>
    </row>
    <row r="188" spans="21:22">
      <c r="V188" s="52"/>
    </row>
  </sheetData>
  <dataValidations count="2">
    <dataValidation type="list" allowBlank="1" showInputMessage="1" showErrorMessage="1" sqref="M6:M95" xr:uid="{E04B112B-DAC8-4E07-9849-E543E6D15C3F}">
      <formula1>$O$62:$AA$62</formula1>
    </dataValidation>
    <dataValidation allowBlank="1" showInputMessage="1" showErrorMessage="1" promptTitle="Caution" prompt="Try NOT to ALTER this cell" sqref="J6:L95" xr:uid="{D0EDE6AE-E774-4586-90BA-FE3AA576F23C}"/>
  </dataValidations>
  <pageMargins left="0.7" right="0.7" top="0.75" bottom="0.75" header="0.3" footer="0.3"/>
  <pageSetup scale="20" fitToHeight="3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8C839BEFDB0F4BA8E1278AA000AA8C" ma:contentTypeVersion="0" ma:contentTypeDescription="Create a new document." ma:contentTypeScope="" ma:versionID="60d53a47fc8182a71097d0567cf8e2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15cdd8e3468a497b005757af39a2bd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64086C-B701-4A5B-804D-7316D5CE304B}">
  <ds:schemaRefs/>
</ds:datastoreItem>
</file>

<file path=customXml/itemProps2.xml><?xml version="1.0" encoding="utf-8"?>
<ds:datastoreItem xmlns:ds="http://schemas.openxmlformats.org/officeDocument/2006/customXml" ds:itemID="{DD0F1B9D-B675-4C8C-8B7F-7B701878AB3C}">
  <ds:schemaRefs/>
</ds:datastoreItem>
</file>

<file path=customXml/itemProps3.xml><?xml version="1.0" encoding="utf-8"?>
<ds:datastoreItem xmlns:ds="http://schemas.openxmlformats.org/officeDocument/2006/customXml" ds:itemID="{C5795843-81B7-40D8-8D10-3B07D8D7E5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31.05.2025     </vt:lpstr>
      <vt:lpstr>03.05.2023 </vt:lpstr>
      <vt:lpstr>03.05.2023 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danivelve</dc:creator>
  <cp:lastModifiedBy>daniel dadzie appiah</cp:lastModifiedBy>
  <cp:lastPrinted>2025-09-03T18:21:03Z</cp:lastPrinted>
  <dcterms:created xsi:type="dcterms:W3CDTF">2022-05-20T15:23:00Z</dcterms:created>
  <dcterms:modified xsi:type="dcterms:W3CDTF">2025-12-26T05:56:39Z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0x010100428C839BEFDB0F4BA8E1278AA000AA8C</vt:lpwstr>
  </property>
  <property fmtid="{D5CDD505-2E9C-101B-9397-08002B2CF9AE}" pid="3" name="ICV">
    <vt:lpwstr>60FB4CFC1E5042DA827CA663EEF690A5</vt:lpwstr>
  </property>
  <property fmtid="{D5CDD505-2E9C-101B-9397-08002B2CF9AE}" pid="4" name="KSOProductBuildVer">
    <vt:lpwstr>1033-11.2.0.11536</vt:lpwstr>
  </property>
</Properties>
</file>