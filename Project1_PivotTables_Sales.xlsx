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Intel\Logs\ADVanced EXcel\Excel Training - practice 1\Day 4\"/>
    </mc:Choice>
  </mc:AlternateContent>
  <bookViews>
    <workbookView xWindow="0" yWindow="0" windowWidth="20490" windowHeight="7815" tabRatio="943" activeTab="6"/>
  </bookViews>
  <sheets>
    <sheet name="Data" sheetId="1" r:id="rId1"/>
    <sheet name="Summary_Period" sheetId="9" r:id="rId2"/>
    <sheet name="Summary_Region" sheetId="7" r:id="rId3"/>
    <sheet name="Summary_Customer" sheetId="4" r:id="rId4"/>
    <sheet name="Summary_Product" sheetId="5" r:id="rId5"/>
    <sheet name="Summary_Salesperson" sheetId="3" r:id="rId6"/>
    <sheet name="Dashboard" sheetId="10" r:id="rId7"/>
  </sheets>
  <definedNames>
    <definedName name="_xlnm._FilterDatabase" localSheetId="0" hidden="1">Data!$B$8:$G$917</definedName>
    <definedName name="_xlnm.Extract" localSheetId="0">Data!$I$11</definedName>
    <definedName name="_xlnm.Print_Area" localSheetId="6">Dashboard!$A$1:$T$59</definedName>
    <definedName name="Slicer_Customer">#N/A</definedName>
    <definedName name="Slicer_Date">#N/A</definedName>
    <definedName name="Slicer_Product_Category">#N/A</definedName>
    <definedName name="Slicer_Region">#N/A</definedName>
    <definedName name="Slicer_Salesperson">#N/A</definedName>
    <definedName name="Slicer_Total_Sales">#N/A</definedName>
  </definedNames>
  <calcPr calcId="162913"/>
  <pivotCaches>
    <pivotCache cacheId="2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17" i="1" l="1"/>
  <c r="AK17" i="1"/>
  <c r="AJ17" i="1"/>
  <c r="AI17" i="1"/>
  <c r="AH17" i="1"/>
  <c r="AL16" i="1"/>
  <c r="AK16" i="1"/>
  <c r="AJ16" i="1"/>
  <c r="AI16" i="1"/>
  <c r="AH16" i="1"/>
  <c r="AL15" i="1"/>
  <c r="AK15" i="1"/>
  <c r="AJ15" i="1"/>
  <c r="AI15" i="1"/>
  <c r="AH15" i="1"/>
  <c r="AL14" i="1"/>
  <c r="AK14" i="1"/>
  <c r="AJ14" i="1"/>
  <c r="AI14" i="1"/>
  <c r="AH14" i="1"/>
  <c r="AL13" i="1"/>
  <c r="AK13" i="1"/>
  <c r="AJ13" i="1"/>
  <c r="AI13" i="1"/>
  <c r="AH13" i="1"/>
  <c r="AL12" i="1"/>
  <c r="AK12" i="1"/>
  <c r="AJ12" i="1"/>
  <c r="AI12" i="1"/>
  <c r="AH12" i="1"/>
  <c r="AL11" i="1"/>
  <c r="AK11" i="1"/>
  <c r="AJ11" i="1"/>
  <c r="AI11" i="1"/>
  <c r="AH11" i="1"/>
  <c r="AL10" i="1"/>
  <c r="AK10" i="1"/>
  <c r="AJ10" i="1"/>
  <c r="AI10" i="1"/>
  <c r="AH10" i="1"/>
  <c r="AL9" i="1"/>
  <c r="AK9" i="1"/>
  <c r="AJ9" i="1"/>
  <c r="AI9" i="1"/>
  <c r="AH9" i="1"/>
  <c r="AL8" i="1"/>
  <c r="AK8" i="1"/>
  <c r="AJ8" i="1"/>
  <c r="AI8" i="1"/>
  <c r="AH8" i="1"/>
  <c r="AN6" i="1"/>
  <c r="AL18" i="1" s="1"/>
  <c r="AM6" i="1"/>
  <c r="AL6" i="1"/>
  <c r="AK6" i="1"/>
  <c r="AJ6" i="1"/>
  <c r="AO6" i="1" l="1"/>
  <c r="AM10" i="1"/>
  <c r="AM14" i="1"/>
  <c r="AI18" i="1"/>
  <c r="AM11" i="1"/>
  <c r="AM12" i="1"/>
  <c r="AM15" i="1"/>
  <c r="AM16" i="1"/>
  <c r="AJ18" i="1"/>
  <c r="AM8" i="1"/>
  <c r="AM9" i="1"/>
  <c r="AM13" i="1"/>
  <c r="AM17" i="1"/>
  <c r="AH18" i="1"/>
  <c r="AK18" i="1" l="1"/>
  <c r="AM18" i="1" s="1"/>
</calcChain>
</file>

<file path=xl/sharedStrings.xml><?xml version="1.0" encoding="utf-8"?>
<sst xmlns="http://schemas.openxmlformats.org/spreadsheetml/2006/main" count="3709" uniqueCount="50">
  <si>
    <t>Pivot Table</t>
  </si>
  <si>
    <t>Salesperson</t>
  </si>
  <si>
    <t>Region</t>
  </si>
  <si>
    <t>Customer</t>
  </si>
  <si>
    <t>Date</t>
  </si>
  <si>
    <t>Total Sales</t>
  </si>
  <si>
    <t>Total</t>
  </si>
  <si>
    <t>Oti</t>
  </si>
  <si>
    <t>Greater Accra</t>
  </si>
  <si>
    <t>Ashanti</t>
  </si>
  <si>
    <t>Haveria, Luiz</t>
  </si>
  <si>
    <t>Hines, Zach</t>
  </si>
  <si>
    <t>Read, Tira</t>
  </si>
  <si>
    <t>Smith, Bob</t>
  </si>
  <si>
    <t>Stuart, Jill</t>
  </si>
  <si>
    <t>Tall, Liz</t>
  </si>
  <si>
    <t>Temple, Cheryl</t>
  </si>
  <si>
    <t>Fog, Londong</t>
  </si>
  <si>
    <t>Dede, Amakye</t>
  </si>
  <si>
    <t>Barkley, Ross</t>
  </si>
  <si>
    <t>Azpilecueta, Moses</t>
  </si>
  <si>
    <t>Milner, James</t>
  </si>
  <si>
    <t>Savannah</t>
  </si>
  <si>
    <t>Product Category</t>
  </si>
  <si>
    <t>Seafood</t>
  </si>
  <si>
    <t>Beef Meals</t>
  </si>
  <si>
    <t>Pasta Dishes</t>
  </si>
  <si>
    <t xml:space="preserve">Fish Meals </t>
  </si>
  <si>
    <t>Elton John</t>
  </si>
  <si>
    <t>Kwaku Mason</t>
  </si>
  <si>
    <t>Clifford Quist</t>
  </si>
  <si>
    <t>Sharon Sticks</t>
  </si>
  <si>
    <t>Fisher Mills</t>
  </si>
  <si>
    <t>Restaurant Dish Sales - 2018 and 2019</t>
  </si>
  <si>
    <t xml:space="preserve">Vegetarian Dishes </t>
  </si>
  <si>
    <t>Row Labels</t>
  </si>
  <si>
    <t>Grand Total</t>
  </si>
  <si>
    <t>Sum of Total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</si>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</sst>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4" formatCode="_(* #,##0_);_(* \(#,##0\);_(* &quot;-&quot;??_);_(@_)"/>
    <numFmt numFmtId="165" formatCode="&quot;$&quot;#,##0.00"/>
    <numFmt numFmtId="166" formatCode="m/d/yy;@"/>
  </numFmts>
  <fonts count="11" x14ac:knownFonts="1">
    <font>
      <sz val="9"/>
      <color theme="1"/>
      <name val="Segoe UI"/>
      <family val="2"/>
    </font>
    <font>
      <sz val="10"/>
      <name val="Arial"/>
      <family val="2"/>
    </font>
    <font>
      <sz val="10"/>
      <name val="Segoe UI"/>
      <family val="2"/>
    </font>
    <font>
      <sz val="10"/>
      <color theme="0"/>
      <name val="Segoe UI"/>
      <family val="2"/>
    </font>
    <font>
      <sz val="11"/>
      <color theme="1"/>
      <name val="Calibri"/>
      <family val="2"/>
      <scheme val="minor"/>
    </font>
    <font>
      <b/>
      <sz val="12"/>
      <color theme="0"/>
      <name val="Segoe UI"/>
      <family val="2"/>
    </font>
    <font>
      <b/>
      <sz val="10"/>
      <name val="Segoe UI"/>
      <family val="2"/>
    </font>
    <font>
      <sz val="10"/>
      <color theme="1"/>
      <name val="Segoe UI"/>
      <family val="2"/>
    </font>
    <font>
      <b/>
      <sz val="10"/>
      <color theme="1"/>
      <name val="Segoe UI"/>
      <family val="2"/>
    </font>
    <font>
      <b/>
      <sz val="10"/>
      <color theme="0"/>
      <name val="Segoe UI"/>
      <family val="2"/>
    </font>
    <font>
      <sz val="9"/>
      <color theme="1"/>
      <name val="Segoe UI"/>
      <family val="2"/>
    </font>
  </fonts>
  <fills count="10">
    <fill>
      <patternFill patternType="none"/>
    </fill>
    <fill>
      <patternFill patternType="gray125"/>
    </fill>
    <fill>
      <patternFill patternType="solid">
        <fgColor theme="0" tint="-4.9989318521683403E-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4"/>
        <bgColor theme="4"/>
      </patternFill>
    </fill>
    <fill>
      <patternFill patternType="solid">
        <fgColor theme="4" tint="0.79998168889431442"/>
        <bgColor theme="4" tint="0.79998168889431442"/>
      </patternFill>
    </fill>
    <fill>
      <patternFill patternType="solid">
        <fgColor rgb="FF00B050"/>
        <bgColor indexed="64"/>
      </patternFill>
    </fill>
    <fill>
      <patternFill patternType="solid">
        <fgColor theme="2" tint="-9.9978637043366805E-2"/>
        <bgColor indexed="64"/>
      </patternFill>
    </fill>
  </fills>
  <borders count="9">
    <border>
      <left/>
      <right/>
      <top/>
      <bottom/>
      <diagonal/>
    </border>
    <border>
      <left/>
      <right/>
      <top/>
      <bottom style="thin">
        <color auto="1"/>
      </bottom>
      <diagonal/>
    </border>
    <border>
      <left/>
      <right/>
      <top/>
      <bottom style="thin">
        <color theme="4" tint="0.39997558519241921"/>
      </bottom>
      <diagonal/>
    </border>
    <border>
      <left style="thin">
        <color auto="1"/>
      </left>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style="thin">
        <color auto="1"/>
      </right>
      <top style="thin">
        <color auto="1"/>
      </top>
      <bottom/>
      <diagonal/>
    </border>
    <border>
      <left style="thin">
        <color auto="1"/>
      </left>
      <right/>
      <top style="thin">
        <color theme="4" tint="0.39997558519241921"/>
      </top>
      <bottom/>
      <diagonal/>
    </border>
    <border>
      <left style="thin">
        <color auto="1"/>
      </left>
      <right style="thin">
        <color auto="1"/>
      </right>
      <top style="thin">
        <color theme="4" tint="0.39997558519241921"/>
      </top>
      <bottom/>
      <diagonal/>
    </border>
    <border>
      <left style="thin">
        <color auto="1"/>
      </left>
      <right/>
      <top style="thin">
        <color theme="4" tint="0.39997558519241921"/>
      </top>
      <bottom style="thin">
        <color auto="1"/>
      </bottom>
      <diagonal/>
    </border>
  </borders>
  <cellStyleXfs count="7">
    <xf numFmtId="0" fontId="0" fillId="0" borderId="0"/>
    <xf numFmtId="0" fontId="1" fillId="0" borderId="0"/>
    <xf numFmtId="43" fontId="4" fillId="0" borderId="0" applyFont="0" applyFill="0" applyBorder="0" applyAlignment="0" applyProtection="0"/>
    <xf numFmtId="43" fontId="1" fillId="0" borderId="0" applyFont="0" applyFill="0" applyBorder="0" applyAlignment="0" applyProtection="0"/>
    <xf numFmtId="44" fontId="4" fillId="0" borderId="0" applyFont="0" applyFill="0" applyBorder="0" applyAlignment="0" applyProtection="0"/>
    <xf numFmtId="0" fontId="4" fillId="0" borderId="0"/>
    <xf numFmtId="43" fontId="10" fillId="0" borderId="0" applyFont="0" applyFill="0" applyBorder="0" applyAlignment="0" applyProtection="0"/>
  </cellStyleXfs>
  <cellXfs count="52">
    <xf numFmtId="0" fontId="0" fillId="0" borderId="0" xfId="0"/>
    <xf numFmtId="0" fontId="2" fillId="2" borderId="0" xfId="1" applyFont="1" applyFill="1"/>
    <xf numFmtId="0" fontId="2" fillId="0" borderId="0" xfId="1" applyFont="1" applyFill="1" applyBorder="1" applyAlignment="1">
      <alignment horizontal="center" vertical="center"/>
    </xf>
    <xf numFmtId="0" fontId="7" fillId="0" borderId="0" xfId="5" applyFont="1"/>
    <xf numFmtId="0" fontId="7" fillId="0" borderId="0" xfId="5" applyFont="1" applyAlignment="1">
      <alignment horizontal="left"/>
    </xf>
    <xf numFmtId="0" fontId="2" fillId="0" borderId="0" xfId="1" applyFont="1"/>
    <xf numFmtId="0" fontId="2" fillId="4" borderId="0" xfId="1" applyFont="1" applyFill="1"/>
    <xf numFmtId="44" fontId="8" fillId="0" borderId="0" xfId="4" applyFont="1" applyFill="1" applyBorder="1" applyAlignment="1">
      <alignment horizontal="right" vertical="center"/>
    </xf>
    <xf numFmtId="0" fontId="0" fillId="0" borderId="0" xfId="5" applyFont="1"/>
    <xf numFmtId="44" fontId="2" fillId="0" borderId="0" xfId="4" applyFont="1" applyBorder="1"/>
    <xf numFmtId="165" fontId="2" fillId="0" borderId="0" xfId="1" applyNumberFormat="1" applyFont="1"/>
    <xf numFmtId="3" fontId="7" fillId="0" borderId="0" xfId="5" applyNumberFormat="1" applyFont="1"/>
    <xf numFmtId="0" fontId="8" fillId="5" borderId="2" xfId="5" applyFont="1" applyFill="1" applyBorder="1" applyAlignment="1">
      <alignment horizontal="left" wrapText="1"/>
    </xf>
    <xf numFmtId="0" fontId="6" fillId="4" borderId="0" xfId="1" applyFont="1" applyFill="1"/>
    <xf numFmtId="166" fontId="2" fillId="0" borderId="0" xfId="1" applyNumberFormat="1" applyFont="1"/>
    <xf numFmtId="43" fontId="2" fillId="0" borderId="0" xfId="2" applyFont="1"/>
    <xf numFmtId="44" fontId="2" fillId="0" borderId="0" xfId="4" applyFont="1"/>
    <xf numFmtId="15" fontId="2" fillId="0" borderId="0" xfId="1" applyNumberFormat="1" applyFont="1"/>
    <xf numFmtId="164" fontId="2" fillId="0" borderId="0" xfId="3" applyNumberFormat="1" applyFont="1"/>
    <xf numFmtId="0" fontId="6" fillId="3" borderId="0" xfId="1" applyFont="1" applyFill="1" applyBorder="1" applyAlignment="1">
      <alignment horizontal="center" vertical="center"/>
    </xf>
    <xf numFmtId="0" fontId="3" fillId="8" borderId="0" xfId="1" applyFont="1" applyFill="1"/>
    <xf numFmtId="15" fontId="3" fillId="8" borderId="0" xfId="1" applyNumberFormat="1" applyFont="1" applyFill="1"/>
    <xf numFmtId="43" fontId="3" fillId="8" borderId="0" xfId="2" applyFont="1" applyFill="1"/>
    <xf numFmtId="164" fontId="3" fillId="8" borderId="0" xfId="3" applyNumberFormat="1" applyFont="1" applyFill="1"/>
    <xf numFmtId="44" fontId="3" fillId="8" borderId="0" xfId="4" applyFont="1" applyFill="1"/>
    <xf numFmtId="0" fontId="5" fillId="8" borderId="0" xfId="1" applyFont="1" applyFill="1"/>
    <xf numFmtId="0" fontId="5" fillId="8" borderId="0" xfId="4" applyNumberFormat="1" applyFont="1" applyFill="1" applyAlignment="1"/>
    <xf numFmtId="0" fontId="8" fillId="6" borderId="3" xfId="1" applyNumberFormat="1" applyFont="1" applyFill="1" applyBorder="1" applyAlignment="1">
      <alignment horizontal="left" vertical="center"/>
    </xf>
    <xf numFmtId="0" fontId="8" fillId="6" borderId="3" xfId="1" applyNumberFormat="1" applyFont="1" applyFill="1" applyBorder="1" applyAlignment="1">
      <alignment horizontal="center" vertical="center"/>
    </xf>
    <xf numFmtId="44" fontId="9" fillId="6" borderId="5" xfId="4" applyNumberFormat="1" applyFont="1" applyFill="1" applyBorder="1" applyAlignment="1">
      <alignment horizontal="right" vertical="center"/>
    </xf>
    <xf numFmtId="0" fontId="7" fillId="7" borderId="3" xfId="1" applyNumberFormat="1" applyFont="1" applyFill="1" applyBorder="1" applyAlignment="1"/>
    <xf numFmtId="0" fontId="2" fillId="7" borderId="3" xfId="1" applyNumberFormat="1" applyFont="1" applyFill="1" applyBorder="1" applyAlignment="1"/>
    <xf numFmtId="15" fontId="7" fillId="7" borderId="3" xfId="5" applyNumberFormat="1" applyFont="1" applyFill="1" applyBorder="1" applyAlignment="1"/>
    <xf numFmtId="0" fontId="7" fillId="0" borderId="6" xfId="1" applyNumberFormat="1" applyFont="1" applyBorder="1" applyAlignment="1"/>
    <xf numFmtId="0" fontId="2" fillId="0" borderId="6" xfId="1" applyNumberFormat="1" applyFont="1" applyBorder="1" applyAlignment="1"/>
    <xf numFmtId="15" fontId="7" fillId="0" borderId="6" xfId="5" applyNumberFormat="1" applyFont="1" applyBorder="1" applyAlignment="1"/>
    <xf numFmtId="0" fontId="7" fillId="7" borderId="6" xfId="1" applyNumberFormat="1" applyFont="1" applyFill="1" applyBorder="1" applyAlignment="1"/>
    <xf numFmtId="0" fontId="2" fillId="7" borderId="6" xfId="1" applyNumberFormat="1" applyFont="1" applyFill="1" applyBorder="1" applyAlignment="1"/>
    <xf numFmtId="15" fontId="7" fillId="7" borderId="6" xfId="5" applyNumberFormat="1" applyFont="1" applyFill="1" applyBorder="1" applyAlignment="1"/>
    <xf numFmtId="0" fontId="7" fillId="7" borderId="8" xfId="1" applyNumberFormat="1" applyFont="1" applyFill="1" applyBorder="1" applyAlignment="1"/>
    <xf numFmtId="0" fontId="2" fillId="7" borderId="8" xfId="1" applyNumberFormat="1" applyFont="1" applyFill="1" applyBorder="1" applyAlignment="1"/>
    <xf numFmtId="15" fontId="2" fillId="7" borderId="8" xfId="2" applyNumberFormat="1" applyFont="1" applyFill="1" applyBorder="1"/>
    <xf numFmtId="43" fontId="2" fillId="7" borderId="5" xfId="6" applyFont="1" applyFill="1" applyBorder="1"/>
    <xf numFmtId="43" fontId="2" fillId="0" borderId="7" xfId="6" applyFont="1" applyBorder="1"/>
    <xf numFmtId="43" fontId="2" fillId="7" borderId="7" xfId="6" applyFont="1" applyFill="1" applyBorder="1"/>
    <xf numFmtId="43" fontId="2" fillId="7" borderId="4" xfId="6" applyFont="1" applyFill="1" applyBorder="1"/>
    <xf numFmtId="0" fontId="6" fillId="3" borderId="1" xfId="1" applyFont="1" applyFill="1" applyBorder="1" applyAlignment="1">
      <alignment horizontal="center" vertical="center"/>
    </xf>
    <xf numFmtId="0" fontId="0" fillId="0" borderId="0" xfId="0" pivotButton="1"/>
    <xf numFmtId="0" fontId="0" fillId="0" borderId="0" xfId="0" applyAlignment="1">
      <alignment horizontal="left"/>
    </xf>
    <xf numFmtId="43" fontId="0" fillId="0" borderId="0" xfId="0" applyNumberFormat="1"/>
    <xf numFmtId="15" fontId="0" fillId="0" borderId="0" xfId="0" applyNumberFormat="1" applyAlignment="1">
      <alignment horizontal="left"/>
    </xf>
    <xf numFmtId="0" fontId="0" fillId="9" borderId="0" xfId="0" applyFill="1"/>
  </cellXfs>
  <cellStyles count="7">
    <cellStyle name="Comma" xfId="6" builtinId="3"/>
    <cellStyle name="Comma 2" xfId="3"/>
    <cellStyle name="Comma 3" xfId="2"/>
    <cellStyle name="Currency 3" xfId="4"/>
    <cellStyle name="Normal" xfId="0" builtinId="0"/>
    <cellStyle name="Normal 2" xfId="1"/>
    <cellStyle name="Normal 3" xfId="5"/>
  </cellStyles>
  <dxfs count="9">
    <dxf>
      <numFmt numFmtId="35" formatCode="_(* #,##0.00_);_(* \(#,##0.00\);_(* &quot;-&quot;??_);_(@_)"/>
    </dxf>
    <dxf>
      <numFmt numFmtId="35" formatCode="_(* #,##0.00_);_(* \(#,##0.00\);_(* &quot;-&quot;??_);_(@_)"/>
    </dxf>
    <dxf>
      <numFmt numFmtId="35" formatCode="_(* #,##0.00_);_(* \(#,##0.00\);_(* &quot;-&quot;??_);_(@_)"/>
    </dxf>
    <dxf>
      <numFmt numFmtId="0" formatCode="General"/>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Tables.xlsx]Summary_Region!PivotTable5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noFill/>
          </a:ln>
          <a:effectLst/>
        </c:spPr>
      </c:pivotFmt>
    </c:pivotFmts>
    <c:plotArea>
      <c:layout/>
      <c:doughnutChart>
        <c:varyColors val="1"/>
        <c:ser>
          <c:idx val="0"/>
          <c:order val="0"/>
          <c:tx>
            <c:strRef>
              <c:f>Summary_Region!$B$3</c:f>
              <c:strCache>
                <c:ptCount val="1"/>
                <c:pt idx="0">
                  <c:v>Total</c:v>
                </c:pt>
              </c:strCache>
            </c:strRef>
          </c:tx>
          <c:explosion val="3"/>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noFill/>
              </a:ln>
              <a:effectLst/>
            </c:spPr>
            <c:extLst>
              <c:ext xmlns:c16="http://schemas.microsoft.com/office/drawing/2014/chart" uri="{C3380CC4-5D6E-409C-BE32-E72D297353CC}">
                <c16:uniqueId val="{00000001-1E58-4A45-AC26-88AAC50CA2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layout/>
              </c:ext>
            </c:extLst>
          </c:dLbls>
          <c:cat>
            <c:strRef>
              <c:f>Summary_Region!$A$4:$A$8</c:f>
              <c:strCache>
                <c:ptCount val="4"/>
                <c:pt idx="0">
                  <c:v>Ashanti</c:v>
                </c:pt>
                <c:pt idx="1">
                  <c:v>Greater Accra</c:v>
                </c:pt>
                <c:pt idx="2">
                  <c:v>Oti</c:v>
                </c:pt>
                <c:pt idx="3">
                  <c:v>Savannah</c:v>
                </c:pt>
              </c:strCache>
            </c:strRef>
          </c:cat>
          <c:val>
            <c:numRef>
              <c:f>Summary_Region!$B$4:$B$8</c:f>
              <c:numCache>
                <c:formatCode>_(* #,##0.00_);_(* \(#,##0.00\);_(* "-"??_);_(@_)</c:formatCode>
                <c:ptCount val="4"/>
                <c:pt idx="0">
                  <c:v>424218.40999999974</c:v>
                </c:pt>
                <c:pt idx="1">
                  <c:v>457742.5</c:v>
                </c:pt>
                <c:pt idx="2">
                  <c:v>951068.44999999972</c:v>
                </c:pt>
                <c:pt idx="3">
                  <c:v>998636.30999999959</c:v>
                </c:pt>
              </c:numCache>
            </c:numRef>
          </c:val>
          <c:extLst>
            <c:ext xmlns:c16="http://schemas.microsoft.com/office/drawing/2014/chart" uri="{C3380CC4-5D6E-409C-BE32-E72D297353CC}">
              <c16:uniqueId val="{00000000-1E58-4A45-AC26-88AAC50CA2A6}"/>
            </c:ext>
          </c:extLst>
        </c:ser>
        <c:dLbls>
          <c:showLegendKey val="0"/>
          <c:showVal val="1"/>
          <c:showCatName val="0"/>
          <c:showSerName val="0"/>
          <c:showPercent val="0"/>
          <c:showBubbleSize val="0"/>
          <c:showLeaderLines val="0"/>
        </c:dLbls>
        <c:firstSliceAng val="0"/>
        <c:holeSize val="4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Tables.xlsx]Summary_Customer!PivotTable3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Summary_Customer!$B$3</c:f>
              <c:strCache>
                <c:ptCount val="1"/>
                <c:pt idx="0">
                  <c:v>Total</c:v>
                </c:pt>
              </c:strCache>
            </c:strRef>
          </c:tx>
          <c:spPr>
            <a:solidFill>
              <a:schemeClr val="accent1"/>
            </a:solidFill>
            <a:ln>
              <a:solidFill>
                <a:schemeClr val="accent1"/>
              </a:solid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Summary_Customer!$A$4:$A$9</c:f>
              <c:strCache>
                <c:ptCount val="5"/>
                <c:pt idx="0">
                  <c:v>Sharon Sticks</c:v>
                </c:pt>
                <c:pt idx="1">
                  <c:v>Fisher Mills</c:v>
                </c:pt>
                <c:pt idx="2">
                  <c:v>Clifford Quist</c:v>
                </c:pt>
                <c:pt idx="3">
                  <c:v>Kwaku Mason</c:v>
                </c:pt>
                <c:pt idx="4">
                  <c:v>Elton John</c:v>
                </c:pt>
              </c:strCache>
            </c:strRef>
          </c:cat>
          <c:val>
            <c:numRef>
              <c:f>Summary_Customer!$B$4:$B$9</c:f>
              <c:numCache>
                <c:formatCode>_(* #,##0.00_);_(* \(#,##0.00\);_(* "-"??_);_(@_)</c:formatCode>
                <c:ptCount val="5"/>
                <c:pt idx="0">
                  <c:v>464415.52999999968</c:v>
                </c:pt>
                <c:pt idx="1">
                  <c:v>470054.88999999996</c:v>
                </c:pt>
                <c:pt idx="2">
                  <c:v>478552.6399999999</c:v>
                </c:pt>
                <c:pt idx="3">
                  <c:v>501135.60999999969</c:v>
                </c:pt>
                <c:pt idx="4">
                  <c:v>917506.99999999988</c:v>
                </c:pt>
              </c:numCache>
            </c:numRef>
          </c:val>
          <c:extLst>
            <c:ext xmlns:c16="http://schemas.microsoft.com/office/drawing/2014/chart" uri="{C3380CC4-5D6E-409C-BE32-E72D297353CC}">
              <c16:uniqueId val="{00000000-9CA6-44D9-86B5-27630C1A3BB9}"/>
            </c:ext>
          </c:extLst>
        </c:ser>
        <c:dLbls>
          <c:dLblPos val="outEnd"/>
          <c:showLegendKey val="0"/>
          <c:showVal val="1"/>
          <c:showCatName val="0"/>
          <c:showSerName val="0"/>
          <c:showPercent val="0"/>
          <c:showBubbleSize val="0"/>
        </c:dLbls>
        <c:gapWidth val="75"/>
        <c:overlap val="-4"/>
        <c:axId val="1696777712"/>
        <c:axId val="1696786032"/>
      </c:barChart>
      <c:catAx>
        <c:axId val="169677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6032"/>
        <c:crosses val="autoZero"/>
        <c:auto val="1"/>
        <c:lblAlgn val="ctr"/>
        <c:lblOffset val="100"/>
        <c:noMultiLvlLbl val="0"/>
      </c:catAx>
      <c:valAx>
        <c:axId val="1696786032"/>
        <c:scaling>
          <c:orientation val="minMax"/>
        </c:scaling>
        <c:delete val="1"/>
        <c:axPos val="b"/>
        <c:numFmt formatCode="_(* #,##0.00_);_(* \(#,##0.00\);_(* &quot;-&quot;??_);_(@_)" sourceLinked="1"/>
        <c:majorTickMark val="none"/>
        <c:minorTickMark val="none"/>
        <c:tickLblPos val="nextTo"/>
        <c:crossAx val="169677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Tables.xlsx]Summary_Product!PivotTable4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Summary_Product!$B$3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Summary_Product!$A$4:$A$9</c:f>
              <c:strCache>
                <c:ptCount val="5"/>
                <c:pt idx="0">
                  <c:v>Pasta Dishes</c:v>
                </c:pt>
                <c:pt idx="1">
                  <c:v>Fish Meals </c:v>
                </c:pt>
                <c:pt idx="2">
                  <c:v>Vegetarian Dishes </c:v>
                </c:pt>
                <c:pt idx="3">
                  <c:v>Beef Meals</c:v>
                </c:pt>
                <c:pt idx="4">
                  <c:v>Seafood</c:v>
                </c:pt>
              </c:strCache>
            </c:strRef>
          </c:cat>
          <c:val>
            <c:numRef>
              <c:f>Summary_Product!$B$4:$B$9</c:f>
              <c:numCache>
                <c:formatCode>_(* #,##0.00_);_(* \(#,##0.00\);_(* "-"??_);_(@_)</c:formatCode>
                <c:ptCount val="5"/>
                <c:pt idx="0">
                  <c:v>1343116.0500000005</c:v>
                </c:pt>
                <c:pt idx="1">
                  <c:v>618824.24999999965</c:v>
                </c:pt>
                <c:pt idx="2">
                  <c:v>478352.85000000003</c:v>
                </c:pt>
                <c:pt idx="3">
                  <c:v>272347.40000000014</c:v>
                </c:pt>
                <c:pt idx="4">
                  <c:v>119025.12000000004</c:v>
                </c:pt>
              </c:numCache>
            </c:numRef>
          </c:val>
          <c:extLst>
            <c:ext xmlns:c16="http://schemas.microsoft.com/office/drawing/2014/chart" uri="{C3380CC4-5D6E-409C-BE32-E72D297353CC}">
              <c16:uniqueId val="{00000000-8536-4C32-878C-A433FD5EAE79}"/>
            </c:ext>
          </c:extLst>
        </c:ser>
        <c:dLbls>
          <c:dLblPos val="outEnd"/>
          <c:showLegendKey val="0"/>
          <c:showVal val="1"/>
          <c:showCatName val="0"/>
          <c:showSerName val="0"/>
          <c:showPercent val="0"/>
          <c:showBubbleSize val="0"/>
        </c:dLbls>
        <c:gapWidth val="50"/>
        <c:overlap val="-20"/>
        <c:axId val="1696783952"/>
        <c:axId val="1696784368"/>
      </c:barChart>
      <c:catAx>
        <c:axId val="169678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4368"/>
        <c:crosses val="autoZero"/>
        <c:auto val="1"/>
        <c:lblAlgn val="ctr"/>
        <c:lblOffset val="100"/>
        <c:noMultiLvlLbl val="0"/>
      </c:catAx>
      <c:valAx>
        <c:axId val="1696784368"/>
        <c:scaling>
          <c:orientation val="minMax"/>
        </c:scaling>
        <c:delete val="1"/>
        <c:axPos val="l"/>
        <c:numFmt formatCode="_(* #,##0.00_);_(* \(#,##0.00\);_(* &quot;-&quot;??_);_(@_)" sourceLinked="1"/>
        <c:majorTickMark val="none"/>
        <c:minorTickMark val="none"/>
        <c:tickLblPos val="nextTo"/>
        <c:crossAx val="169678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Tables.xlsx]Summary_Salesperson!PivotTable2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Salesperson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Summary_Salesperson!$B$3</c:f>
              <c:strCache>
                <c:ptCount val="1"/>
                <c:pt idx="0">
                  <c:v>Total</c:v>
                </c:pt>
              </c:strCache>
            </c:strRef>
          </c:tx>
          <c:spPr>
            <a:solidFill>
              <a:schemeClr val="accent1"/>
            </a:solidFill>
            <a:ln>
              <a:noFill/>
            </a:ln>
            <a:effectLst/>
          </c:spPr>
          <c:invertIfNegative val="0"/>
          <c:cat>
            <c:strRef>
              <c:f>Summary_Salesperson!$A$4:$A$16</c:f>
              <c:strCache>
                <c:ptCount val="12"/>
                <c:pt idx="0">
                  <c:v>Azpilecueta, Moses</c:v>
                </c:pt>
                <c:pt idx="1">
                  <c:v>Barkley, Ross</c:v>
                </c:pt>
                <c:pt idx="2">
                  <c:v>Dede, Amakye</c:v>
                </c:pt>
                <c:pt idx="3">
                  <c:v>Fog, Londong</c:v>
                </c:pt>
                <c:pt idx="4">
                  <c:v>Haveria, Luiz</c:v>
                </c:pt>
                <c:pt idx="5">
                  <c:v>Hines, Zach</c:v>
                </c:pt>
                <c:pt idx="6">
                  <c:v>Milner, James</c:v>
                </c:pt>
                <c:pt idx="7">
                  <c:v>Read, Tira</c:v>
                </c:pt>
                <c:pt idx="8">
                  <c:v>Smith, Bob</c:v>
                </c:pt>
                <c:pt idx="9">
                  <c:v>Stuart, Jill</c:v>
                </c:pt>
                <c:pt idx="10">
                  <c:v>Tall, Liz</c:v>
                </c:pt>
                <c:pt idx="11">
                  <c:v>Temple, Cheryl</c:v>
                </c:pt>
              </c:strCache>
            </c:strRef>
          </c:cat>
          <c:val>
            <c:numRef>
              <c:f>Summary_Salesperson!$B$4:$B$16</c:f>
              <c:numCache>
                <c:formatCode>_(* #,##0.00_);_(* \(#,##0.00\);_(* "-"??_);_(@_)</c:formatCode>
                <c:ptCount val="12"/>
                <c:pt idx="0">
                  <c:v>209208.75999999995</c:v>
                </c:pt>
                <c:pt idx="1">
                  <c:v>204828.36000000004</c:v>
                </c:pt>
                <c:pt idx="2">
                  <c:v>241683.05000000002</c:v>
                </c:pt>
                <c:pt idx="3">
                  <c:v>222209.90000000005</c:v>
                </c:pt>
                <c:pt idx="4">
                  <c:v>252220.82000000007</c:v>
                </c:pt>
                <c:pt idx="5">
                  <c:v>202008.51000000004</c:v>
                </c:pt>
                <c:pt idx="6">
                  <c:v>158470.58000000005</c:v>
                </c:pt>
                <c:pt idx="7">
                  <c:v>344415.49999999971</c:v>
                </c:pt>
                <c:pt idx="8">
                  <c:v>244128.54999999996</c:v>
                </c:pt>
                <c:pt idx="9">
                  <c:v>362436.56</c:v>
                </c:pt>
                <c:pt idx="10">
                  <c:v>207709.40000000002</c:v>
                </c:pt>
                <c:pt idx="11">
                  <c:v>182345.68</c:v>
                </c:pt>
              </c:numCache>
            </c:numRef>
          </c:val>
          <c:extLst>
            <c:ext xmlns:c16="http://schemas.microsoft.com/office/drawing/2014/chart" uri="{C3380CC4-5D6E-409C-BE32-E72D297353CC}">
              <c16:uniqueId val="{00000000-4BEC-4DDB-95C6-F4714F0131E8}"/>
            </c:ext>
          </c:extLst>
        </c:ser>
        <c:dLbls>
          <c:showLegendKey val="0"/>
          <c:showVal val="0"/>
          <c:showCatName val="0"/>
          <c:showSerName val="0"/>
          <c:showPercent val="0"/>
          <c:showBubbleSize val="0"/>
        </c:dLbls>
        <c:gapWidth val="50"/>
        <c:axId val="1696778128"/>
        <c:axId val="1696776880"/>
      </c:barChart>
      <c:catAx>
        <c:axId val="169677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76880"/>
        <c:crosses val="autoZero"/>
        <c:auto val="1"/>
        <c:lblAlgn val="ctr"/>
        <c:lblOffset val="100"/>
        <c:noMultiLvlLbl val="0"/>
      </c:catAx>
      <c:valAx>
        <c:axId val="1696776880"/>
        <c:scaling>
          <c:orientation val="minMax"/>
        </c:scaling>
        <c:delete val="1"/>
        <c:axPos val="b"/>
        <c:numFmt formatCode="_(* #,##0.00_);_(* \(#,##0.00\);_(* &quot;-&quot;??_);_(@_)" sourceLinked="1"/>
        <c:majorTickMark val="none"/>
        <c:minorTickMark val="none"/>
        <c:tickLblPos val="nextTo"/>
        <c:crossAx val="1696778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Tables.xlsx]Summary_Period!PivotTable7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Summary_Period!$B$3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Summary_Period!$A$4:$A$16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Summary_Period!$B$4:$B$16</c:f>
              <c:numCache>
                <c:formatCode>_(* #,##0.00_);_(* \(#,##0.00\);_(* "-"??_);_(@_)</c:formatCode>
                <c:ptCount val="12"/>
                <c:pt idx="0">
                  <c:v>263177.19000000018</c:v>
                </c:pt>
                <c:pt idx="1">
                  <c:v>247068.96</c:v>
                </c:pt>
                <c:pt idx="2">
                  <c:v>176984.47999999995</c:v>
                </c:pt>
                <c:pt idx="3">
                  <c:v>222086.92999999996</c:v>
                </c:pt>
                <c:pt idx="4">
                  <c:v>258158.80999999997</c:v>
                </c:pt>
                <c:pt idx="5">
                  <c:v>252742.59000000005</c:v>
                </c:pt>
                <c:pt idx="6">
                  <c:v>213940.99</c:v>
                </c:pt>
                <c:pt idx="7">
                  <c:v>204312.49000000008</c:v>
                </c:pt>
                <c:pt idx="8">
                  <c:v>234872.34000000005</c:v>
                </c:pt>
                <c:pt idx="9">
                  <c:v>204505.66000000012</c:v>
                </c:pt>
                <c:pt idx="10">
                  <c:v>272237.13000000006</c:v>
                </c:pt>
                <c:pt idx="11">
                  <c:v>281578.09999999998</c:v>
                </c:pt>
              </c:numCache>
            </c:numRef>
          </c:val>
          <c:smooth val="0"/>
          <c:extLst>
            <c:ext xmlns:c16="http://schemas.microsoft.com/office/drawing/2014/chart" uri="{C3380CC4-5D6E-409C-BE32-E72D297353CC}">
              <c16:uniqueId val="{00000000-E566-4A34-A82C-19E0DF31D324}"/>
            </c:ext>
          </c:extLst>
        </c:ser>
        <c:dLbls>
          <c:dLblPos val="t"/>
          <c:showLegendKey val="0"/>
          <c:showVal val="1"/>
          <c:showCatName val="0"/>
          <c:showSerName val="0"/>
          <c:showPercent val="0"/>
          <c:showBubbleSize val="0"/>
        </c:dLbls>
        <c:marker val="1"/>
        <c:smooth val="0"/>
        <c:axId val="1566726176"/>
        <c:axId val="1566736992"/>
      </c:lineChart>
      <c:catAx>
        <c:axId val="156672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36992"/>
        <c:crosses val="autoZero"/>
        <c:auto val="1"/>
        <c:lblAlgn val="ctr"/>
        <c:lblOffset val="100"/>
        <c:noMultiLvlLbl val="0"/>
      </c:catAx>
      <c:valAx>
        <c:axId val="1566736992"/>
        <c:scaling>
          <c:orientation val="minMax"/>
        </c:scaling>
        <c:delete val="1"/>
        <c:axPos val="l"/>
        <c:numFmt formatCode="_(* #,##0.00_);_(* \(#,##0.00\);_(* &quot;-&quot;??_);_(@_)" sourceLinked="1"/>
        <c:majorTickMark val="out"/>
        <c:minorTickMark val="none"/>
        <c:tickLblPos val="nextTo"/>
        <c:crossAx val="1566726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Tables.xlsx]Summary_Salesperson!PivotTable2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Salesperson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Summary_Salesperson!$B$3</c:f>
              <c:strCache>
                <c:ptCount val="1"/>
                <c:pt idx="0">
                  <c:v>Total</c:v>
                </c:pt>
              </c:strCache>
            </c:strRef>
          </c:tx>
          <c:spPr>
            <a:solidFill>
              <a:schemeClr val="accent1"/>
            </a:solidFill>
            <a:ln>
              <a:noFill/>
            </a:ln>
            <a:effectLst/>
          </c:spPr>
          <c:invertIfNegative val="0"/>
          <c:cat>
            <c:strRef>
              <c:f>Summary_Salesperson!$A$4:$A$16</c:f>
              <c:strCache>
                <c:ptCount val="12"/>
                <c:pt idx="0">
                  <c:v>Azpilecueta, Moses</c:v>
                </c:pt>
                <c:pt idx="1">
                  <c:v>Barkley, Ross</c:v>
                </c:pt>
                <c:pt idx="2">
                  <c:v>Dede, Amakye</c:v>
                </c:pt>
                <c:pt idx="3">
                  <c:v>Fog, Londong</c:v>
                </c:pt>
                <c:pt idx="4">
                  <c:v>Haveria, Luiz</c:v>
                </c:pt>
                <c:pt idx="5">
                  <c:v>Hines, Zach</c:v>
                </c:pt>
                <c:pt idx="6">
                  <c:v>Milner, James</c:v>
                </c:pt>
                <c:pt idx="7">
                  <c:v>Read, Tira</c:v>
                </c:pt>
                <c:pt idx="8">
                  <c:v>Smith, Bob</c:v>
                </c:pt>
                <c:pt idx="9">
                  <c:v>Stuart, Jill</c:v>
                </c:pt>
                <c:pt idx="10">
                  <c:v>Tall, Liz</c:v>
                </c:pt>
                <c:pt idx="11">
                  <c:v>Temple, Cheryl</c:v>
                </c:pt>
              </c:strCache>
            </c:strRef>
          </c:cat>
          <c:val>
            <c:numRef>
              <c:f>Summary_Salesperson!$B$4:$B$16</c:f>
              <c:numCache>
                <c:formatCode>_(* #,##0.00_);_(* \(#,##0.00\);_(* "-"??_);_(@_)</c:formatCode>
                <c:ptCount val="12"/>
                <c:pt idx="0">
                  <c:v>209208.75999999995</c:v>
                </c:pt>
                <c:pt idx="1">
                  <c:v>204828.36000000004</c:v>
                </c:pt>
                <c:pt idx="2">
                  <c:v>241683.05000000002</c:v>
                </c:pt>
                <c:pt idx="3">
                  <c:v>222209.90000000005</c:v>
                </c:pt>
                <c:pt idx="4">
                  <c:v>252220.82000000007</c:v>
                </c:pt>
                <c:pt idx="5">
                  <c:v>202008.51000000004</c:v>
                </c:pt>
                <c:pt idx="6">
                  <c:v>158470.58000000005</c:v>
                </c:pt>
                <c:pt idx="7">
                  <c:v>344415.49999999971</c:v>
                </c:pt>
                <c:pt idx="8">
                  <c:v>244128.54999999996</c:v>
                </c:pt>
                <c:pt idx="9">
                  <c:v>362436.56</c:v>
                </c:pt>
                <c:pt idx="10">
                  <c:v>207709.40000000002</c:v>
                </c:pt>
                <c:pt idx="11">
                  <c:v>182345.68</c:v>
                </c:pt>
              </c:numCache>
            </c:numRef>
          </c:val>
          <c:extLst>
            <c:ext xmlns:c16="http://schemas.microsoft.com/office/drawing/2014/chart" uri="{C3380CC4-5D6E-409C-BE32-E72D297353CC}">
              <c16:uniqueId val="{00000000-9B23-43DD-8F24-E891076072F4}"/>
            </c:ext>
          </c:extLst>
        </c:ser>
        <c:dLbls>
          <c:showLegendKey val="0"/>
          <c:showVal val="0"/>
          <c:showCatName val="0"/>
          <c:showSerName val="0"/>
          <c:showPercent val="0"/>
          <c:showBubbleSize val="0"/>
        </c:dLbls>
        <c:gapWidth val="50"/>
        <c:axId val="1696778128"/>
        <c:axId val="1696776880"/>
      </c:barChart>
      <c:catAx>
        <c:axId val="169677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76880"/>
        <c:crosses val="autoZero"/>
        <c:auto val="1"/>
        <c:lblAlgn val="ctr"/>
        <c:lblOffset val="100"/>
        <c:noMultiLvlLbl val="0"/>
      </c:catAx>
      <c:valAx>
        <c:axId val="1696776880"/>
        <c:scaling>
          <c:orientation val="minMax"/>
        </c:scaling>
        <c:delete val="1"/>
        <c:axPos val="b"/>
        <c:numFmt formatCode="_(* #,##0.00_);_(* \(#,##0.00\);_(* &quot;-&quot;??_);_(@_)" sourceLinked="1"/>
        <c:majorTickMark val="none"/>
        <c:minorTickMark val="none"/>
        <c:tickLblPos val="nextTo"/>
        <c:crossAx val="1696778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Tables.xlsx]Summary_Product!PivotTable4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Summary_Product!$B$3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Summary_Product!$A$4:$A$9</c:f>
              <c:strCache>
                <c:ptCount val="5"/>
                <c:pt idx="0">
                  <c:v>Pasta Dishes</c:v>
                </c:pt>
                <c:pt idx="1">
                  <c:v>Fish Meals </c:v>
                </c:pt>
                <c:pt idx="2">
                  <c:v>Vegetarian Dishes </c:v>
                </c:pt>
                <c:pt idx="3">
                  <c:v>Beef Meals</c:v>
                </c:pt>
                <c:pt idx="4">
                  <c:v>Seafood</c:v>
                </c:pt>
              </c:strCache>
            </c:strRef>
          </c:cat>
          <c:val>
            <c:numRef>
              <c:f>Summary_Product!$B$4:$B$9</c:f>
              <c:numCache>
                <c:formatCode>_(* #,##0.00_);_(* \(#,##0.00\);_(* "-"??_);_(@_)</c:formatCode>
                <c:ptCount val="5"/>
                <c:pt idx="0">
                  <c:v>1343116.0500000005</c:v>
                </c:pt>
                <c:pt idx="1">
                  <c:v>618824.24999999965</c:v>
                </c:pt>
                <c:pt idx="2">
                  <c:v>478352.85000000003</c:v>
                </c:pt>
                <c:pt idx="3">
                  <c:v>272347.40000000014</c:v>
                </c:pt>
                <c:pt idx="4">
                  <c:v>119025.12000000004</c:v>
                </c:pt>
              </c:numCache>
            </c:numRef>
          </c:val>
          <c:extLst>
            <c:ext xmlns:c16="http://schemas.microsoft.com/office/drawing/2014/chart" uri="{C3380CC4-5D6E-409C-BE32-E72D297353CC}">
              <c16:uniqueId val="{00000000-F465-4696-BCBF-303AE645204B}"/>
            </c:ext>
          </c:extLst>
        </c:ser>
        <c:dLbls>
          <c:dLblPos val="outEnd"/>
          <c:showLegendKey val="0"/>
          <c:showVal val="1"/>
          <c:showCatName val="0"/>
          <c:showSerName val="0"/>
          <c:showPercent val="0"/>
          <c:showBubbleSize val="0"/>
        </c:dLbls>
        <c:gapWidth val="50"/>
        <c:overlap val="-20"/>
        <c:axId val="1696783952"/>
        <c:axId val="1696784368"/>
      </c:barChart>
      <c:catAx>
        <c:axId val="169678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4368"/>
        <c:crosses val="autoZero"/>
        <c:auto val="1"/>
        <c:lblAlgn val="ctr"/>
        <c:lblOffset val="100"/>
        <c:noMultiLvlLbl val="0"/>
      </c:catAx>
      <c:valAx>
        <c:axId val="1696784368"/>
        <c:scaling>
          <c:orientation val="minMax"/>
        </c:scaling>
        <c:delete val="1"/>
        <c:axPos val="l"/>
        <c:numFmt formatCode="_(* #,##0.00_);_(* \(#,##0.00\);_(* &quot;-&quot;??_);_(@_)" sourceLinked="1"/>
        <c:majorTickMark val="none"/>
        <c:minorTickMark val="none"/>
        <c:tickLblPos val="nextTo"/>
        <c:crossAx val="169678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Tables.xlsx]Summary_Region!PivotTable5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noFill/>
          </a:ln>
          <a:effectLst/>
        </c:spPr>
      </c:pivotFmt>
    </c:pivotFmts>
    <c:plotArea>
      <c:layout/>
      <c:doughnutChart>
        <c:varyColors val="1"/>
        <c:ser>
          <c:idx val="0"/>
          <c:order val="0"/>
          <c:tx>
            <c:strRef>
              <c:f>Summary_Region!$B$3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1D-4E93-B796-38A70FC5B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1D-4E93-B796-38A70FC5B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1D-4E93-B796-38A70FC5BD74}"/>
              </c:ext>
            </c:extLst>
          </c:dPt>
          <c:dPt>
            <c:idx val="3"/>
            <c:bubble3D val="0"/>
            <c:spPr>
              <a:solidFill>
                <a:schemeClr val="accent4"/>
              </a:solidFill>
              <a:ln w="19050">
                <a:noFill/>
              </a:ln>
              <a:effectLst/>
            </c:spPr>
            <c:extLst>
              <c:ext xmlns:c16="http://schemas.microsoft.com/office/drawing/2014/chart" uri="{C3380CC4-5D6E-409C-BE32-E72D297353CC}">
                <c16:uniqueId val="{00000007-161D-4E93-B796-38A70FC5B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Summary_Region!$A$4:$A$8</c:f>
              <c:strCache>
                <c:ptCount val="4"/>
                <c:pt idx="0">
                  <c:v>Ashanti</c:v>
                </c:pt>
                <c:pt idx="1">
                  <c:v>Greater Accra</c:v>
                </c:pt>
                <c:pt idx="2">
                  <c:v>Oti</c:v>
                </c:pt>
                <c:pt idx="3">
                  <c:v>Savannah</c:v>
                </c:pt>
              </c:strCache>
            </c:strRef>
          </c:cat>
          <c:val>
            <c:numRef>
              <c:f>Summary_Region!$B$4:$B$8</c:f>
              <c:numCache>
                <c:formatCode>_(* #,##0.00_);_(* \(#,##0.00\);_(* "-"??_);_(@_)</c:formatCode>
                <c:ptCount val="4"/>
                <c:pt idx="0">
                  <c:v>424218.40999999974</c:v>
                </c:pt>
                <c:pt idx="1">
                  <c:v>457742.5</c:v>
                </c:pt>
                <c:pt idx="2">
                  <c:v>951068.44999999972</c:v>
                </c:pt>
                <c:pt idx="3">
                  <c:v>998636.30999999959</c:v>
                </c:pt>
              </c:numCache>
            </c:numRef>
          </c:val>
          <c:extLst>
            <c:ext xmlns:c16="http://schemas.microsoft.com/office/drawing/2014/chart" uri="{C3380CC4-5D6E-409C-BE32-E72D297353CC}">
              <c16:uniqueId val="{00000008-161D-4E93-B796-38A70FC5BD74}"/>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Tables.xlsx]Summary_Customer!PivotTable3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Summary_Customer!$B$3</c:f>
              <c:strCache>
                <c:ptCount val="1"/>
                <c:pt idx="0">
                  <c:v>Total</c:v>
                </c:pt>
              </c:strCache>
            </c:strRef>
          </c:tx>
          <c:spPr>
            <a:solidFill>
              <a:schemeClr val="accent1"/>
            </a:solidFill>
            <a:ln>
              <a:solidFill>
                <a:schemeClr val="accent1"/>
              </a:solid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Summary_Customer!$A$4:$A$9</c:f>
              <c:strCache>
                <c:ptCount val="5"/>
                <c:pt idx="0">
                  <c:v>Sharon Sticks</c:v>
                </c:pt>
                <c:pt idx="1">
                  <c:v>Fisher Mills</c:v>
                </c:pt>
                <c:pt idx="2">
                  <c:v>Clifford Quist</c:v>
                </c:pt>
                <c:pt idx="3">
                  <c:v>Kwaku Mason</c:v>
                </c:pt>
                <c:pt idx="4">
                  <c:v>Elton John</c:v>
                </c:pt>
              </c:strCache>
            </c:strRef>
          </c:cat>
          <c:val>
            <c:numRef>
              <c:f>Summary_Customer!$B$4:$B$9</c:f>
              <c:numCache>
                <c:formatCode>_(* #,##0.00_);_(* \(#,##0.00\);_(* "-"??_);_(@_)</c:formatCode>
                <c:ptCount val="5"/>
                <c:pt idx="0">
                  <c:v>464415.52999999968</c:v>
                </c:pt>
                <c:pt idx="1">
                  <c:v>470054.88999999996</c:v>
                </c:pt>
                <c:pt idx="2">
                  <c:v>478552.6399999999</c:v>
                </c:pt>
                <c:pt idx="3">
                  <c:v>501135.60999999969</c:v>
                </c:pt>
                <c:pt idx="4">
                  <c:v>917506.99999999988</c:v>
                </c:pt>
              </c:numCache>
            </c:numRef>
          </c:val>
          <c:extLst>
            <c:ext xmlns:c16="http://schemas.microsoft.com/office/drawing/2014/chart" uri="{C3380CC4-5D6E-409C-BE32-E72D297353CC}">
              <c16:uniqueId val="{00000000-3F5D-45B4-BB72-FF9276077C0C}"/>
            </c:ext>
          </c:extLst>
        </c:ser>
        <c:dLbls>
          <c:dLblPos val="outEnd"/>
          <c:showLegendKey val="0"/>
          <c:showVal val="1"/>
          <c:showCatName val="0"/>
          <c:showSerName val="0"/>
          <c:showPercent val="0"/>
          <c:showBubbleSize val="0"/>
        </c:dLbls>
        <c:gapWidth val="75"/>
        <c:overlap val="-4"/>
        <c:axId val="1696777712"/>
        <c:axId val="1696786032"/>
      </c:barChart>
      <c:catAx>
        <c:axId val="169677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6032"/>
        <c:crosses val="autoZero"/>
        <c:auto val="1"/>
        <c:lblAlgn val="ctr"/>
        <c:lblOffset val="100"/>
        <c:noMultiLvlLbl val="0"/>
      </c:catAx>
      <c:valAx>
        <c:axId val="1696786032"/>
        <c:scaling>
          <c:orientation val="minMax"/>
        </c:scaling>
        <c:delete val="1"/>
        <c:axPos val="b"/>
        <c:numFmt formatCode="_(* #,##0.00_);_(* \(#,##0.00\);_(* &quot;-&quot;??_);_(@_)" sourceLinked="1"/>
        <c:majorTickMark val="none"/>
        <c:minorTickMark val="none"/>
        <c:tickLblPos val="nextTo"/>
        <c:crossAx val="169677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114300</xdr:colOff>
      <xdr:row>5</xdr:row>
      <xdr:rowOff>152398</xdr:rowOff>
    </xdr:from>
    <xdr:to>
      <xdr:col>14</xdr:col>
      <xdr:colOff>28575</xdr:colOff>
      <xdr:row>25</xdr:row>
      <xdr:rowOff>94486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890587</xdr:colOff>
      <xdr:row>6</xdr:row>
      <xdr:rowOff>0</xdr:rowOff>
    </xdr:from>
    <xdr:to>
      <xdr:col>11</xdr:col>
      <xdr:colOff>138112</xdr:colOff>
      <xdr:row>24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166687</xdr:colOff>
      <xdr:row>6</xdr:row>
      <xdr:rowOff>0</xdr:rowOff>
    </xdr:from>
    <xdr:to>
      <xdr:col>11</xdr:col>
      <xdr:colOff>471487</xdr:colOff>
      <xdr:row>24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119062</xdr:colOff>
      <xdr:row>6</xdr:row>
      <xdr:rowOff>0</xdr:rowOff>
    </xdr:from>
    <xdr:to>
      <xdr:col>11</xdr:col>
      <xdr:colOff>423862</xdr:colOff>
      <xdr:row>24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1</xdr:row>
      <xdr:rowOff>19049</xdr:rowOff>
    </xdr:from>
    <xdr:to>
      <xdr:col>16</xdr:col>
      <xdr:colOff>28575</xdr:colOff>
      <xdr:row>19</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20</xdr:row>
      <xdr:rowOff>0</xdr:rowOff>
    </xdr:from>
    <xdr:to>
      <xdr:col>8</xdr:col>
      <xdr:colOff>161925</xdr:colOff>
      <xdr:row>38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200025</xdr:colOff>
      <xdr:row>20</xdr:row>
      <xdr:rowOff>0</xdr:rowOff>
    </xdr:from>
    <xdr:to>
      <xdr:col>16</xdr:col>
      <xdr:colOff>38100</xdr:colOff>
      <xdr:row>38</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38</xdr:row>
      <xdr:rowOff>47625</xdr:rowOff>
    </xdr:from>
    <xdr:to>
      <xdr:col>8</xdr:col>
      <xdr:colOff>152401</xdr:colOff>
      <xdr:row>56</xdr:row>
      <xdr:rowOff>133350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295275</xdr:colOff>
      <xdr:row>38</xdr:row>
      <xdr:rowOff>66674</xdr:rowOff>
    </xdr:from>
    <xdr:to>
      <xdr:col>16</xdr:col>
      <xdr:colOff>142875</xdr:colOff>
      <xdr:row>56</xdr:row>
      <xdr:rowOff>133349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171449</xdr:colOff>
      <xdr:row>7</xdr:row>
      <xdr:rowOff>76200</xdr:rowOff>
    </xdr:from>
    <xdr:to>
      <xdr:col>19</xdr:col>
      <xdr:colOff>457200</xdr:colOff>
      <xdr:row>13</xdr:row>
      <xdr:rowOff>123825</xdr:rowOff>
    </xdr:to>
    <mc:AlternateContent xmlns:mc="http://schemas.openxmlformats.org/markup-compatibility/2006">
      <mc:Choice xmlns:a14="http://schemas.microsoft.com/office/drawing/2010/main" Requires="a14">
        <xdr:graphicFrame macro="">
          <xdr:nvGraphicFramePr>
            <xdr:cNvPr id="7"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308520" y="1123950"/>
              <a:ext cx="1877787" cy="945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171449</xdr:colOff>
      <xdr:row>13</xdr:row>
      <xdr:rowOff>142875</xdr:rowOff>
    </xdr:from>
    <xdr:to>
      <xdr:col>19</xdr:col>
      <xdr:colOff>447674</xdr:colOff>
      <xdr:row>20</xdr:row>
      <xdr:rowOff>0</xdr:rowOff>
    </xdr:to>
    <mc:AlternateContent xmlns:mc="http://schemas.openxmlformats.org/markup-compatibility/2006">
      <mc:Choice xmlns:a14="http://schemas.microsoft.com/office/drawing/2010/main" Requires="a14">
        <xdr:graphicFrame macro="">
          <xdr:nvGraphicFramePr>
            <xdr:cNvPr id="8"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8308520" y="2088696"/>
              <a:ext cx="1868261"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161924</xdr:colOff>
      <xdr:row>20</xdr:row>
      <xdr:rowOff>9525</xdr:rowOff>
    </xdr:from>
    <xdr:to>
      <xdr:col>19</xdr:col>
      <xdr:colOff>438149</xdr:colOff>
      <xdr:row>25</xdr:row>
      <xdr:rowOff>133350</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98995" y="3003096"/>
              <a:ext cx="1868261" cy="872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152399</xdr:colOff>
      <xdr:row>31</xdr:row>
      <xdr:rowOff>104775</xdr:rowOff>
    </xdr:from>
    <xdr:to>
      <xdr:col>19</xdr:col>
      <xdr:colOff>409574</xdr:colOff>
      <xdr:row>37</xdr:row>
      <xdr:rowOff>76200</xdr:rowOff>
    </xdr:to>
    <mc:AlternateContent xmlns:mc="http://schemas.openxmlformats.org/markup-compatibility/2006">
      <mc:Choice xmlns:a14="http://schemas.microsoft.com/office/drawing/2010/main" Requires="a14">
        <xdr:graphicFrame macro="">
          <xdr:nvGraphicFramePr>
            <xdr:cNvPr id="10" name="Custome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8289470" y="4744811"/>
              <a:ext cx="1849211" cy="869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1</xdr:row>
      <xdr:rowOff>85725</xdr:rowOff>
    </xdr:from>
    <xdr:to>
      <xdr:col>19</xdr:col>
      <xdr:colOff>476250</xdr:colOff>
      <xdr:row>7</xdr:row>
      <xdr:rowOff>66675</xdr:rowOff>
    </xdr:to>
    <mc:AlternateContent xmlns:mc="http://schemas.openxmlformats.org/markup-compatibility/2006">
      <mc:Choice xmlns:a14="http://schemas.microsoft.com/office/drawing/2010/main" Requires="a14">
        <xdr:graphicFrame macro="">
          <xdr:nvGraphicFramePr>
            <xdr:cNvPr id="11"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8289471" y="235404"/>
              <a:ext cx="1915886" cy="879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142875</xdr:colOff>
      <xdr:row>25</xdr:row>
      <xdr:rowOff>133351</xdr:rowOff>
    </xdr:from>
    <xdr:to>
      <xdr:col>19</xdr:col>
      <xdr:colOff>428625</xdr:colOff>
      <xdr:row>31</xdr:row>
      <xdr:rowOff>95251</xdr:rowOff>
    </xdr:to>
    <mc:AlternateContent xmlns:mc="http://schemas.openxmlformats.org/markup-compatibility/2006">
      <mc:Choice xmlns:a14="http://schemas.microsoft.com/office/drawing/2010/main" Requires="a14">
        <xdr:graphicFrame macro="">
          <xdr:nvGraphicFramePr>
            <xdr:cNvPr id="12" name="Total Sales"/>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dr:sp macro="" textlink="">
          <xdr:nvSpPr>
            <xdr:cNvPr id="0" name=""/>
            <xdr:cNvSpPr>
              <a:spLocks noTextEdit="1"/>
            </xdr:cNvSpPr>
          </xdr:nvSpPr>
          <xdr:spPr>
            <a:xfrm>
              <a:off x="8279946" y="3875315"/>
              <a:ext cx="1877786" cy="859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mmanuel Kwabena Mensah" refreshedDate="44211.598587962966" createdVersion="6" refreshedVersion="6" minRefreshableVersion="3" recordCount="909">
  <cacheSource type="worksheet">
    <worksheetSource ref="B8:G917" sheet="Data"/>
  </cacheSource>
  <cacheFields count="8">
    <cacheField name="Salesperson" numFmtId="0">
      <sharedItems count="12">
        <s v="Stuart, Jill"/>
        <s v="Fog, Londong"/>
        <s v="Haveria, Luiz"/>
        <s v="Hines, Zach"/>
        <s v="Read, Tira"/>
        <s v="Smith, Bob"/>
        <s v="Tall, Liz"/>
        <s v="Temple, Cheryl"/>
        <s v="Dede, Amakye"/>
        <s v="Barkley, Ross"/>
        <s v="Azpilecueta, Moses"/>
        <s v="Milner, James"/>
      </sharedItems>
    </cacheField>
    <cacheField name="Product Category" numFmtId="0">
      <sharedItems count="5">
        <s v="Vegetarian Dishes "/>
        <s v="Fish Meals "/>
        <s v="Seafood"/>
        <s v="Beef Meals"/>
        <s v="Pasta Dishes"/>
      </sharedItems>
    </cacheField>
    <cacheField name="Region" numFmtId="0">
      <sharedItems count="4">
        <s v="Oti"/>
        <s v="Ashanti"/>
        <s v="Greater Accra"/>
        <s v="Savannah"/>
      </sharedItems>
    </cacheField>
    <cacheField name="Customer" numFmtId="0">
      <sharedItems count="5">
        <s v="Elton John"/>
        <s v="Kwaku Mason"/>
        <s v="Clifford Quist"/>
        <s v="Fisher Mills"/>
        <s v="Sharon Sticks"/>
      </sharedItems>
    </cacheField>
    <cacheField name="Date" numFmtId="15">
      <sharedItems containsSemiMixedTypes="0" containsNonDate="0" containsDate="1" containsString="0" minDate="2018-01-06T00:00:00" maxDate="2019-12-31T00:00:00" count="449">
        <d v="2018-01-06T00:00:00"/>
        <d v="2018-01-07T00:00:00"/>
        <d v="2018-01-08T00:00:00"/>
        <d v="2018-01-10T00:00:00"/>
        <d v="2018-01-11T00:00:00"/>
        <d v="2018-01-14T00:00:00"/>
        <d v="2018-01-15T00:00:00"/>
        <d v="2018-01-16T00:00:00"/>
        <d v="2018-01-17T00:00:00"/>
        <d v="2018-01-22T00:00:00"/>
        <d v="2018-01-23T00:00:00"/>
        <d v="2018-01-24T00:00:00"/>
        <d v="2018-01-26T00:00:00"/>
        <d v="2018-01-28T00:00:00"/>
        <d v="2018-01-29T00:00:00"/>
        <d v="2018-01-30T00:00:00"/>
        <d v="2018-01-31T00:00:00"/>
        <d v="2018-02-01T00:00:00"/>
        <d v="2018-02-02T00:00:00"/>
        <d v="2018-02-05T00:00:00"/>
        <d v="2018-02-06T00:00:00"/>
        <d v="2018-02-08T00:00:00"/>
        <d v="2018-02-09T00:00:00"/>
        <d v="2018-02-11T00:00:00"/>
        <d v="2018-02-12T00:00:00"/>
        <d v="2018-02-15T00:00:00"/>
        <d v="2018-02-16T00:00:00"/>
        <d v="2018-02-19T00:00:00"/>
        <d v="2018-02-20T00:00:00"/>
        <d v="2018-02-21T00:00:00"/>
        <d v="2018-02-22T00:00:00"/>
        <d v="2018-02-23T00:00:00"/>
        <d v="2018-02-27T00:00:00"/>
        <d v="2018-02-28T00:00:00"/>
        <d v="2018-03-04T00:00:00"/>
        <d v="2018-03-05T00:00:00"/>
        <d v="2018-03-07T00:00:00"/>
        <d v="2018-03-08T00:00:00"/>
        <d v="2018-03-09T00:00:00"/>
        <d v="2018-03-12T00:00:00"/>
        <d v="2018-03-13T00:00:00"/>
        <d v="2018-03-14T00:00:00"/>
        <d v="2018-03-16T00:00:00"/>
        <d v="2018-03-18T00:00:00"/>
        <d v="2018-03-19T00:00:00"/>
        <d v="2018-03-20T00:00:00"/>
        <d v="2018-03-21T00:00:00"/>
        <d v="2018-03-23T00:00:00"/>
        <d v="2018-03-26T00:00:00"/>
        <d v="2018-03-27T00:00:00"/>
        <d v="2018-03-29T00:00:00"/>
        <d v="2018-03-30T00:00:00"/>
        <d v="2018-04-02T00:00:00"/>
        <d v="2018-04-04T00:00:00"/>
        <d v="2018-04-05T00:00:00"/>
        <d v="2018-04-06T00:00:00"/>
        <d v="2018-04-08T00:00:00"/>
        <d v="2018-04-09T00:00:00"/>
        <d v="2018-04-10T00:00:00"/>
        <d v="2018-04-11T00:00:00"/>
        <d v="2018-04-13T00:00:00"/>
        <d v="2018-04-15T00:00:00"/>
        <d v="2018-04-16T00:00:00"/>
        <d v="2018-04-18T00:00:00"/>
        <d v="2018-04-19T00:00:00"/>
        <d v="2018-04-20T00:00:00"/>
        <d v="2018-04-22T00:00:00"/>
        <d v="2018-04-23T00:00:00"/>
        <d v="2018-04-24T00:00:00"/>
        <d v="2018-04-25T00:00:00"/>
        <d v="2018-04-26T00:00:00"/>
        <d v="2018-04-29T00:00:00"/>
        <d v="2018-04-30T00:00:00"/>
        <d v="2018-05-01T00:00:00"/>
        <d v="2018-05-02T00:00:00"/>
        <d v="2018-05-07T00:00:00"/>
        <d v="2018-05-08T00:00:00"/>
        <d v="2018-05-10T00:00:00"/>
        <d v="2018-05-11T00:00:00"/>
        <d v="2018-05-13T00:00:00"/>
        <d v="2018-05-14T00:00:00"/>
        <d v="2018-05-15T00:00:00"/>
        <d v="2018-05-16T00:00:00"/>
        <d v="2018-05-17T00:00:00"/>
        <d v="2018-05-18T00:00:00"/>
        <d v="2018-05-20T00:00:00"/>
        <d v="2018-05-21T00:00:00"/>
        <d v="2018-05-23T00:00:00"/>
        <d v="2018-05-24T00:00:00"/>
        <d v="2018-05-25T00:00:00"/>
        <d v="2018-05-27T00:00:00"/>
        <d v="2018-05-28T00:00:00"/>
        <d v="2018-05-31T00:00:00"/>
        <d v="2018-06-03T00:00:00"/>
        <d v="2018-06-04T00:00:00"/>
        <d v="2018-06-06T00:00:00"/>
        <d v="2018-06-07T00:00:00"/>
        <d v="2018-06-10T00:00:00"/>
        <d v="2018-06-11T00:00:00"/>
        <d v="2018-06-12T00:00:00"/>
        <d v="2018-06-13T00:00:00"/>
        <d v="2018-06-14T00:00:00"/>
        <d v="2018-06-15T00:00:00"/>
        <d v="2018-06-18T00:00:00"/>
        <d v="2018-06-19T00:00:00"/>
        <d v="2018-06-21T00:00:00"/>
        <d v="2018-06-22T00:00:00"/>
        <d v="2018-06-25T00:00:00"/>
        <d v="2018-06-26T00:00:00"/>
        <d v="2018-06-27T00:00:00"/>
        <d v="2018-06-28T00:00:00"/>
        <d v="2018-07-04T00:00:00"/>
        <d v="2018-07-05T00:00:00"/>
        <d v="2018-07-09T00:00:00"/>
        <d v="2018-07-11T00:00:00"/>
        <d v="2018-07-12T00:00:00"/>
        <d v="2018-07-13T00:00:00"/>
        <d v="2018-07-16T00:00:00"/>
        <d v="2018-07-17T00:00:00"/>
        <d v="2018-07-18T00:00:00"/>
        <d v="2018-07-19T00:00:00"/>
        <d v="2018-07-20T00:00:00"/>
        <d v="2018-07-23T00:00:00"/>
        <d v="2018-07-24T00:00:00"/>
        <d v="2018-07-25T00:00:00"/>
        <d v="2018-07-26T00:00:00"/>
        <d v="2018-07-27T00:00:00"/>
        <d v="2018-07-29T00:00:00"/>
        <d v="2018-07-30T00:00:00"/>
        <d v="2018-07-31T00:00:00"/>
        <d v="2018-08-01T00:00:00"/>
        <d v="2018-08-02T00:00:00"/>
        <d v="2018-08-05T00:00:00"/>
        <d v="2018-08-06T00:00:00"/>
        <d v="2018-08-07T00:00:00"/>
        <d v="2018-08-09T00:00:00"/>
        <d v="2018-08-12T00:00:00"/>
        <d v="2018-08-13T00:00:00"/>
        <d v="2018-08-14T00:00:00"/>
        <d v="2018-08-16T00:00:00"/>
        <d v="2018-08-17T00:00:00"/>
        <d v="2018-08-19T00:00:00"/>
        <d v="2018-08-20T00:00:00"/>
        <d v="2018-08-21T00:00:00"/>
        <d v="2018-08-22T00:00:00"/>
        <d v="2018-08-23T00:00:00"/>
        <d v="2018-08-24T00:00:00"/>
        <d v="2018-08-26T00:00:00"/>
        <d v="2018-08-27T00:00:00"/>
        <d v="2018-08-29T00:00:00"/>
        <d v="2018-08-30T00:00:00"/>
        <d v="2018-09-03T00:00:00"/>
        <d v="2018-09-04T00:00:00"/>
        <d v="2018-09-05T00:00:00"/>
        <d v="2018-09-06T00:00:00"/>
        <d v="2018-09-09T00:00:00"/>
        <d v="2018-09-10T00:00:00"/>
        <d v="2018-09-12T00:00:00"/>
        <d v="2018-09-14T00:00:00"/>
        <d v="2018-09-17T00:00:00"/>
        <d v="2018-09-19T00:00:00"/>
        <d v="2018-09-20T00:00:00"/>
        <d v="2018-09-21T00:00:00"/>
        <d v="2018-09-24T00:00:00"/>
        <d v="2018-09-26T00:00:00"/>
        <d v="2018-09-27T00:00:00"/>
        <d v="2018-09-28T00:00:00"/>
        <d v="2018-09-30T00:00:00"/>
        <d v="2018-10-01T00:00:00"/>
        <d v="2018-10-02T00:00:00"/>
        <d v="2018-10-03T00:00:00"/>
        <d v="2018-10-04T00:00:00"/>
        <d v="2018-10-07T00:00:00"/>
        <d v="2018-10-08T00:00:00"/>
        <d v="2018-10-11T00:00:00"/>
        <d v="2018-10-14T00:00:00"/>
        <d v="2018-10-15T00:00:00"/>
        <d v="2018-10-16T00:00:00"/>
        <d v="2018-10-21T00:00:00"/>
        <d v="2018-10-22T00:00:00"/>
        <d v="2018-10-23T00:00:00"/>
        <d v="2018-10-25T00:00:00"/>
        <d v="2018-10-26T00:00:00"/>
        <d v="2018-10-28T00:00:00"/>
        <d v="2018-10-29T00:00:00"/>
        <d v="2018-10-30T00:00:00"/>
        <d v="2018-10-31T00:00:00"/>
        <d v="2018-11-01T00:00:00"/>
        <d v="2018-11-02T00:00:00"/>
        <d v="2018-11-04T00:00:00"/>
        <d v="2018-11-05T00:00:00"/>
        <d v="2018-11-08T00:00:00"/>
        <d v="2018-11-12T00:00:00"/>
        <d v="2018-11-15T00:00:00"/>
        <d v="2018-11-16T00:00:00"/>
        <d v="2018-11-19T00:00:00"/>
        <d v="2018-11-20T00:00:00"/>
        <d v="2018-11-22T00:00:00"/>
        <d v="2018-11-23T00:00:00"/>
        <d v="2018-11-25T00:00:00"/>
        <d v="2018-11-26T00:00:00"/>
        <d v="2018-11-28T00:00:00"/>
        <d v="2018-11-29T00:00:00"/>
        <d v="2018-11-30T00:00:00"/>
        <d v="2018-12-02T00:00:00"/>
        <d v="2018-12-03T00:00:00"/>
        <d v="2018-12-04T00:00:00"/>
        <d v="2018-12-05T00:00:00"/>
        <d v="2018-12-06T00:00:00"/>
        <d v="2018-12-09T00:00:00"/>
        <d v="2018-12-10T00:00:00"/>
        <d v="2018-12-11T00:00:00"/>
        <d v="2018-12-13T00:00:00"/>
        <d v="2018-12-14T00:00:00"/>
        <d v="2018-12-16T00:00:00"/>
        <d v="2018-12-17T00:00:00"/>
        <d v="2018-12-18T00:00:00"/>
        <d v="2018-12-19T00:00:00"/>
        <d v="2018-12-20T00:00:00"/>
        <d v="2018-12-21T00:00:00"/>
        <d v="2018-12-23T00:00:00"/>
        <d v="2018-12-24T00:00:00"/>
        <d v="2018-12-25T00:00:00"/>
        <d v="2018-12-27T00:00:00"/>
        <d v="2018-12-28T00:00:00"/>
        <d v="2018-12-30T00:00:00"/>
        <d v="2019-01-01T00:00:00"/>
        <d v="2019-01-02T00:00:00"/>
        <d v="2019-01-07T00:00:00"/>
        <d v="2019-01-08T00:00:00"/>
        <d v="2019-01-09T00:00:00"/>
        <d v="2019-01-10T00:00:00"/>
        <d v="2019-01-11T00:00:00"/>
        <d v="2019-01-13T00:00:00"/>
        <d v="2019-01-14T00:00:00"/>
        <d v="2019-01-16T00:00:00"/>
        <d v="2019-01-17T00:00:00"/>
        <d v="2019-01-18T00:00:00"/>
        <d v="2019-01-21T00:00:00"/>
        <d v="2019-01-22T00:00:00"/>
        <d v="2019-01-24T00:00:00"/>
        <d v="2019-01-25T00:00:00"/>
        <d v="2019-01-27T00:00:00"/>
        <d v="2019-01-28T00:00:00"/>
        <d v="2019-01-29T00:00:00"/>
        <d v="2019-01-30T00:00:00"/>
        <d v="2019-01-31T00:00:00"/>
        <d v="2019-02-01T00:00:00"/>
        <d v="2019-02-03T00:00:00"/>
        <d v="2019-02-04T00:00:00"/>
        <d v="2019-02-05T00:00:00"/>
        <d v="2019-02-06T00:00:00"/>
        <d v="2019-02-07T00:00:00"/>
        <d v="2019-02-11T00:00:00"/>
        <d v="2019-02-17T00:00:00"/>
        <d v="2019-02-18T00:00:00"/>
        <d v="2019-02-19T00:00:00"/>
        <d v="2019-02-20T00:00:00"/>
        <d v="2019-02-22T00:00:00"/>
        <d v="2019-02-24T00:00:00"/>
        <d v="2019-02-25T00:00:00"/>
        <d v="2019-02-27T00:00:00"/>
        <d v="2019-03-01T00:00:00"/>
        <d v="2019-03-03T00:00:00"/>
        <d v="2019-03-04T00:00:00"/>
        <d v="2019-03-07T00:00:00"/>
        <d v="2019-03-11T00:00:00"/>
        <d v="2019-03-14T00:00:00"/>
        <d v="2019-03-15T00:00:00"/>
        <d v="2019-03-18T00:00:00"/>
        <d v="2019-03-19T00:00:00"/>
        <d v="2019-03-22T00:00:00"/>
        <d v="2019-03-25T00:00:00"/>
        <d v="2019-03-27T00:00:00"/>
        <d v="2019-03-28T00:00:00"/>
        <d v="2019-03-29T00:00:00"/>
        <d v="2019-03-31T00:00:00"/>
        <d v="2019-04-01T00:00:00"/>
        <d v="2019-04-02T00:00:00"/>
        <d v="2019-04-03T00:00:00"/>
        <d v="2019-04-04T00:00:00"/>
        <d v="2019-04-07T00:00:00"/>
        <d v="2019-04-08T00:00:00"/>
        <d v="2019-04-09T00:00:00"/>
        <d v="2019-04-10T00:00:00"/>
        <d v="2019-04-12T00:00:00"/>
        <d v="2019-04-15T00:00:00"/>
        <d v="2019-04-16T00:00:00"/>
        <d v="2019-04-18T00:00:00"/>
        <d v="2019-04-22T00:00:00"/>
        <d v="2019-04-23T00:00:00"/>
        <d v="2019-04-24T00:00:00"/>
        <d v="2019-04-25T00:00:00"/>
        <d v="2019-04-26T00:00:00"/>
        <d v="2019-04-28T00:00:00"/>
        <d v="2019-04-29T00:00:00"/>
        <d v="2019-04-30T00:00:00"/>
        <d v="2019-05-01T00:00:00"/>
        <d v="2019-05-02T00:00:00"/>
        <d v="2019-05-03T00:00:00"/>
        <d v="2019-05-05T00:00:00"/>
        <d v="2019-05-06T00:00:00"/>
        <d v="2019-05-07T00:00:00"/>
        <d v="2019-05-10T00:00:00"/>
        <d v="2019-05-12T00:00:00"/>
        <d v="2019-05-13T00:00:00"/>
        <d v="2019-05-15T00:00:00"/>
        <d v="2019-05-17T00:00:00"/>
        <d v="2019-05-19T00:00:00"/>
        <d v="2019-05-20T00:00:00"/>
        <d v="2019-05-21T00:00:00"/>
        <d v="2019-05-23T00:00:00"/>
        <d v="2019-05-24T00:00:00"/>
        <d v="2019-05-26T00:00:00"/>
        <d v="2019-05-27T00:00:00"/>
        <d v="2019-05-29T00:00:00"/>
        <d v="2019-05-30T00:00:00"/>
        <d v="2019-05-31T00:00:00"/>
        <d v="2019-06-02T00:00:00"/>
        <d v="2019-06-03T00:00:00"/>
        <d v="2019-06-06T00:00:00"/>
        <d v="2019-06-09T00:00:00"/>
        <d v="2019-06-10T00:00:00"/>
        <d v="2019-06-12T00:00:00"/>
        <d v="2019-06-13T00:00:00"/>
        <d v="2019-06-17T00:00:00"/>
        <d v="2019-06-19T00:00:00"/>
        <d v="2019-06-21T00:00:00"/>
        <d v="2019-06-24T00:00:00"/>
        <d v="2019-06-25T00:00:00"/>
        <d v="2019-06-26T00:00:00"/>
        <d v="2019-06-27T00:00:00"/>
        <d v="2019-06-28T00:00:00"/>
        <d v="2019-06-30T00:00:00"/>
        <d v="2019-07-01T00:00:00"/>
        <d v="2019-07-02T00:00:00"/>
        <d v="2019-07-03T00:00:00"/>
        <d v="2019-07-05T00:00:00"/>
        <d v="2019-07-07T00:00:00"/>
        <d v="2019-07-08T00:00:00"/>
        <d v="2019-07-09T00:00:00"/>
        <d v="2019-07-10T00:00:00"/>
        <d v="2019-07-11T00:00:00"/>
        <d v="2019-07-12T00:00:00"/>
        <d v="2019-07-15T00:00:00"/>
        <d v="2019-07-16T00:00:00"/>
        <d v="2019-07-17T00:00:00"/>
        <d v="2019-07-18T00:00:00"/>
        <d v="2019-07-19T00:00:00"/>
        <d v="2019-07-23T00:00:00"/>
        <d v="2019-07-24T00:00:00"/>
        <d v="2019-07-25T00:00:00"/>
        <d v="2019-07-26T00:00:00"/>
        <d v="2019-07-28T00:00:00"/>
        <d v="2019-07-29T00:00:00"/>
        <d v="2019-07-31T00:00:00"/>
        <d v="2019-08-01T00:00:00"/>
        <d v="2019-08-02T00:00:00"/>
        <d v="2019-08-04T00:00:00"/>
        <d v="2019-08-05T00:00:00"/>
        <d v="2019-08-07T00:00:00"/>
        <d v="2019-08-08T00:00:00"/>
        <d v="2019-08-09T00:00:00"/>
        <d v="2019-08-12T00:00:00"/>
        <d v="2019-08-13T00:00:00"/>
        <d v="2019-08-15T00:00:00"/>
        <d v="2019-08-16T00:00:00"/>
        <d v="2019-08-19T00:00:00"/>
        <d v="2019-08-20T00:00:00"/>
        <d v="2019-08-22T00:00:00"/>
        <d v="2019-08-23T00:00:00"/>
        <d v="2019-08-25T00:00:00"/>
        <d v="2019-08-26T00:00:00"/>
        <d v="2019-08-27T00:00:00"/>
        <d v="2019-08-28T00:00:00"/>
        <d v="2019-08-29T00:00:00"/>
        <d v="2019-08-30T00:00:00"/>
        <d v="2019-09-02T00:00:00"/>
        <d v="2019-09-03T00:00:00"/>
        <d v="2019-09-04T00:00:00"/>
        <d v="2019-09-05T00:00:00"/>
        <d v="2019-09-06T00:00:00"/>
        <d v="2019-09-09T00:00:00"/>
        <d v="2019-09-15T00:00:00"/>
        <d v="2019-09-17T00:00:00"/>
        <d v="2019-09-18T00:00:00"/>
        <d v="2019-09-23T00:00:00"/>
        <d v="2019-09-24T00:00:00"/>
        <d v="2019-09-25T00:00:00"/>
        <d v="2019-09-26T00:00:00"/>
        <d v="2019-09-29T00:00:00"/>
        <d v="2019-09-30T00:00:00"/>
        <d v="2019-10-01T00:00:00"/>
        <d v="2019-10-02T00:00:00"/>
        <d v="2019-10-03T00:00:00"/>
        <d v="2019-10-06T00:00:00"/>
        <d v="2019-10-07T00:00:00"/>
        <d v="2019-10-08T00:00:00"/>
        <d v="2019-10-09T00:00:00"/>
        <d v="2019-10-10T00:00:00"/>
        <d v="2019-10-11T00:00:00"/>
        <d v="2019-10-13T00:00:00"/>
        <d v="2019-10-14T00:00:00"/>
        <d v="2019-10-18T00:00:00"/>
        <d v="2019-10-20T00:00:00"/>
        <d v="2019-10-24T00:00:00"/>
        <d v="2019-10-25T00:00:00"/>
        <d v="2019-10-27T00:00:00"/>
        <d v="2019-10-28T00:00:00"/>
        <d v="2019-10-31T00:00:00"/>
        <d v="2019-11-01T00:00:00"/>
        <d v="2019-11-03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4T00:00:00"/>
        <d v="2019-11-25T00:00:00"/>
        <d v="2019-11-26T00:00:00"/>
        <d v="2019-11-27T00:00:00"/>
        <d v="2019-12-01T00:00:00"/>
        <d v="2019-12-02T00:00:00"/>
        <d v="2019-12-04T00:00:00"/>
        <d v="2019-12-05T00:00:00"/>
        <d v="2019-12-06T00:00:00"/>
        <d v="2019-12-09T00:00:00"/>
        <d v="2019-12-10T00:00:00"/>
        <d v="2019-12-11T00:00:00"/>
        <d v="2019-12-12T00:00:00"/>
        <d v="2019-12-13T00:00:00"/>
        <d v="2019-12-15T00:00:00"/>
        <d v="2019-12-16T00:00:00"/>
        <d v="2019-12-17T00:00:00"/>
        <d v="2019-12-22T00:00:00"/>
        <d v="2019-12-23T00:00:00"/>
        <d v="2019-12-24T00:00:00"/>
        <d v="2019-12-25T00:00:00"/>
        <d v="2019-12-30T00:00:00"/>
      </sharedItems>
      <fieldGroup par="7" base="4">
        <rangePr groupBy="months" startDate="2018-01-06T00:00:00" endDate="2019-12-31T00:00:00"/>
        <groupItems count="14">
          <s v="&lt;1/6/2018"/>
          <s v="Jan"/>
          <s v="Feb"/>
          <s v="Mar"/>
          <s v="Apr"/>
          <s v="May"/>
          <s v="Jun"/>
          <s v="Jul"/>
          <s v="Aug"/>
          <s v="Sep"/>
          <s v="Oct"/>
          <s v="Nov"/>
          <s v="Dec"/>
          <s v="&gt;12/31/2019"/>
        </groupItems>
      </fieldGroup>
    </cacheField>
    <cacheField name="Total Sales" numFmtId="43">
      <sharedItems containsSemiMixedTypes="0" containsString="0" containsNumber="1" minValue="79.989999999999995" maxValue="15999" count="80">
        <n v="3068.5499999999997"/>
        <n v="681.9"/>
        <n v="559.92999999999995"/>
        <n v="506.84999999999997"/>
        <n v="959.87999999999988"/>
        <n v="10399.35"/>
        <n v="799.9"/>
        <n v="1599.9"/>
        <n v="2045.6999999999998"/>
        <n v="4432.3499999999995"/>
        <n v="1689.5"/>
        <n v="1363.8"/>
        <n v="1858.4499999999998"/>
        <n v="2386.65"/>
        <n v="879.89"/>
        <n v="4799.7000000000007"/>
        <n v="4773.3"/>
        <n v="1599.8"/>
        <n v="2727.6"/>
        <n v="7999.5"/>
        <n v="5599.6500000000005"/>
        <n v="3999.75"/>
        <n v="399.95"/>
        <n v="3750.45"/>
        <n v="4091.3999999999996"/>
        <n v="5114.25"/>
        <n v="5796.15"/>
        <n v="719.91"/>
        <n v="1119.8599999999999"/>
        <n v="340.95"/>
        <n v="1022.8499999999999"/>
        <n v="3199.8"/>
        <n v="8799.4500000000007"/>
        <n v="1351.6"/>
        <n v="2196.35"/>
        <n v="639.91999999999996"/>
        <n v="1359.83"/>
        <n v="799.95"/>
        <n v="7199.55"/>
        <n v="1199.8499999999999"/>
        <n v="11199.300000000001"/>
        <n v="14399.1"/>
        <n v="6137.0999999999995"/>
        <n v="13599.150000000001"/>
        <n v="675.8"/>
        <n v="6819"/>
        <n v="6399.6"/>
        <n v="2534.25"/>
        <n v="1704.75"/>
        <n v="79.989999999999995"/>
        <n v="2027.3999999999999"/>
        <n v="5455.2"/>
        <n v="479.93999999999994"/>
        <n v="2365.2999999999997"/>
        <n v="1039.8699999999999"/>
        <n v="12799.2"/>
        <n v="239.96999999999997"/>
        <n v="1520.55"/>
        <n v="1013.6999999999999"/>
        <n v="3041.1"/>
        <n v="2399.8500000000004"/>
        <n v="3409.5"/>
        <n v="15199.050000000001"/>
        <n v="844.75"/>
        <n v="1182.6499999999999"/>
        <n v="11999.25"/>
        <n v="159.97999999999999"/>
        <n v="3379"/>
        <n v="337.9"/>
        <n v="168.95"/>
        <n v="6478.05"/>
        <n v="319.95999999999998"/>
        <n v="9599.4000000000015"/>
        <n v="1519.81"/>
        <n v="3210.0499999999997"/>
        <n v="15999"/>
        <n v="1279.8399999999999"/>
        <n v="2703.2"/>
        <n v="1439.82"/>
        <n v="2872.1499999999996"/>
      </sharedItems>
    </cacheField>
    <cacheField name="Quarters" numFmtId="0" databaseField="0">
      <fieldGroup base="4">
        <rangePr groupBy="quarters" startDate="2018-01-06T00:00:00" endDate="2019-12-31T00:00:00"/>
        <groupItems count="6">
          <s v="&lt;1/6/2018"/>
          <s v="Qtr1"/>
          <s v="Qtr2"/>
          <s v="Qtr3"/>
          <s v="Qtr4"/>
          <s v="&gt;12/31/2019"/>
        </groupItems>
      </fieldGroup>
    </cacheField>
    <cacheField name="Years" numFmtId="0" databaseField="0">
      <fieldGroup base="4">
        <rangePr groupBy="years" startDate="2018-01-06T00:00:00" endDate="2019-12-31T00:00:00"/>
        <groupItems count="4">
          <s v="&lt;1/6/2018"/>
          <s v="2018"/>
          <s v="2019"/>
          <s v="&gt;12/31/2019"/>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09">
  <r>
    <x v="0"/>
    <x v="0"/>
    <x v="0"/>
    <x v="0"/>
    <x v="0"/>
    <x v="0"/>
  </r>
  <r>
    <x v="1"/>
    <x v="1"/>
    <x v="1"/>
    <x v="1"/>
    <x v="0"/>
    <x v="1"/>
  </r>
  <r>
    <x v="2"/>
    <x v="2"/>
    <x v="2"/>
    <x v="2"/>
    <x v="1"/>
    <x v="2"/>
  </r>
  <r>
    <x v="1"/>
    <x v="3"/>
    <x v="1"/>
    <x v="2"/>
    <x v="2"/>
    <x v="3"/>
  </r>
  <r>
    <x v="3"/>
    <x v="2"/>
    <x v="1"/>
    <x v="0"/>
    <x v="2"/>
    <x v="4"/>
  </r>
  <r>
    <x v="4"/>
    <x v="4"/>
    <x v="3"/>
    <x v="2"/>
    <x v="3"/>
    <x v="5"/>
  </r>
  <r>
    <x v="5"/>
    <x v="2"/>
    <x v="0"/>
    <x v="1"/>
    <x v="4"/>
    <x v="6"/>
  </r>
  <r>
    <x v="1"/>
    <x v="4"/>
    <x v="1"/>
    <x v="1"/>
    <x v="4"/>
    <x v="7"/>
  </r>
  <r>
    <x v="1"/>
    <x v="1"/>
    <x v="1"/>
    <x v="1"/>
    <x v="4"/>
    <x v="8"/>
  </r>
  <r>
    <x v="1"/>
    <x v="1"/>
    <x v="1"/>
    <x v="0"/>
    <x v="5"/>
    <x v="9"/>
  </r>
  <r>
    <x v="3"/>
    <x v="3"/>
    <x v="1"/>
    <x v="1"/>
    <x v="5"/>
    <x v="10"/>
  </r>
  <r>
    <x v="0"/>
    <x v="1"/>
    <x v="0"/>
    <x v="1"/>
    <x v="5"/>
    <x v="11"/>
  </r>
  <r>
    <x v="3"/>
    <x v="3"/>
    <x v="1"/>
    <x v="0"/>
    <x v="6"/>
    <x v="12"/>
  </r>
  <r>
    <x v="2"/>
    <x v="0"/>
    <x v="2"/>
    <x v="0"/>
    <x v="6"/>
    <x v="13"/>
  </r>
  <r>
    <x v="3"/>
    <x v="2"/>
    <x v="1"/>
    <x v="2"/>
    <x v="7"/>
    <x v="14"/>
  </r>
  <r>
    <x v="5"/>
    <x v="4"/>
    <x v="0"/>
    <x v="0"/>
    <x v="7"/>
    <x v="15"/>
  </r>
  <r>
    <x v="6"/>
    <x v="0"/>
    <x v="3"/>
    <x v="0"/>
    <x v="8"/>
    <x v="16"/>
  </r>
  <r>
    <x v="4"/>
    <x v="3"/>
    <x v="3"/>
    <x v="1"/>
    <x v="8"/>
    <x v="10"/>
  </r>
  <r>
    <x v="0"/>
    <x v="1"/>
    <x v="0"/>
    <x v="2"/>
    <x v="9"/>
    <x v="11"/>
  </r>
  <r>
    <x v="6"/>
    <x v="2"/>
    <x v="3"/>
    <x v="0"/>
    <x v="10"/>
    <x v="17"/>
  </r>
  <r>
    <x v="4"/>
    <x v="1"/>
    <x v="3"/>
    <x v="1"/>
    <x v="11"/>
    <x v="18"/>
  </r>
  <r>
    <x v="7"/>
    <x v="2"/>
    <x v="0"/>
    <x v="1"/>
    <x v="12"/>
    <x v="14"/>
  </r>
  <r>
    <x v="2"/>
    <x v="0"/>
    <x v="2"/>
    <x v="2"/>
    <x v="13"/>
    <x v="9"/>
  </r>
  <r>
    <x v="2"/>
    <x v="1"/>
    <x v="2"/>
    <x v="0"/>
    <x v="13"/>
    <x v="13"/>
  </r>
  <r>
    <x v="7"/>
    <x v="1"/>
    <x v="0"/>
    <x v="0"/>
    <x v="14"/>
    <x v="18"/>
  </r>
  <r>
    <x v="0"/>
    <x v="4"/>
    <x v="0"/>
    <x v="2"/>
    <x v="15"/>
    <x v="19"/>
  </r>
  <r>
    <x v="0"/>
    <x v="4"/>
    <x v="0"/>
    <x v="1"/>
    <x v="15"/>
    <x v="20"/>
  </r>
  <r>
    <x v="6"/>
    <x v="1"/>
    <x v="3"/>
    <x v="2"/>
    <x v="16"/>
    <x v="11"/>
  </r>
  <r>
    <x v="2"/>
    <x v="0"/>
    <x v="2"/>
    <x v="1"/>
    <x v="16"/>
    <x v="18"/>
  </r>
  <r>
    <x v="2"/>
    <x v="4"/>
    <x v="2"/>
    <x v="3"/>
    <x v="17"/>
    <x v="21"/>
  </r>
  <r>
    <x v="4"/>
    <x v="4"/>
    <x v="3"/>
    <x v="1"/>
    <x v="17"/>
    <x v="20"/>
  </r>
  <r>
    <x v="0"/>
    <x v="0"/>
    <x v="0"/>
    <x v="1"/>
    <x v="17"/>
    <x v="8"/>
  </r>
  <r>
    <x v="2"/>
    <x v="2"/>
    <x v="2"/>
    <x v="1"/>
    <x v="18"/>
    <x v="22"/>
  </r>
  <r>
    <x v="1"/>
    <x v="2"/>
    <x v="1"/>
    <x v="1"/>
    <x v="19"/>
    <x v="6"/>
  </r>
  <r>
    <x v="8"/>
    <x v="0"/>
    <x v="3"/>
    <x v="0"/>
    <x v="20"/>
    <x v="13"/>
  </r>
  <r>
    <x v="8"/>
    <x v="0"/>
    <x v="3"/>
    <x v="0"/>
    <x v="20"/>
    <x v="23"/>
  </r>
  <r>
    <x v="5"/>
    <x v="0"/>
    <x v="0"/>
    <x v="0"/>
    <x v="20"/>
    <x v="0"/>
  </r>
  <r>
    <x v="5"/>
    <x v="0"/>
    <x v="0"/>
    <x v="0"/>
    <x v="20"/>
    <x v="24"/>
  </r>
  <r>
    <x v="0"/>
    <x v="0"/>
    <x v="0"/>
    <x v="0"/>
    <x v="20"/>
    <x v="25"/>
  </r>
  <r>
    <x v="0"/>
    <x v="0"/>
    <x v="0"/>
    <x v="0"/>
    <x v="20"/>
    <x v="26"/>
  </r>
  <r>
    <x v="1"/>
    <x v="2"/>
    <x v="1"/>
    <x v="3"/>
    <x v="21"/>
    <x v="27"/>
  </r>
  <r>
    <x v="1"/>
    <x v="2"/>
    <x v="1"/>
    <x v="3"/>
    <x v="21"/>
    <x v="28"/>
  </r>
  <r>
    <x v="4"/>
    <x v="0"/>
    <x v="3"/>
    <x v="1"/>
    <x v="22"/>
    <x v="29"/>
  </r>
  <r>
    <x v="4"/>
    <x v="0"/>
    <x v="3"/>
    <x v="1"/>
    <x v="22"/>
    <x v="30"/>
  </r>
  <r>
    <x v="4"/>
    <x v="4"/>
    <x v="3"/>
    <x v="3"/>
    <x v="23"/>
    <x v="31"/>
  </r>
  <r>
    <x v="4"/>
    <x v="4"/>
    <x v="3"/>
    <x v="3"/>
    <x v="23"/>
    <x v="32"/>
  </r>
  <r>
    <x v="9"/>
    <x v="1"/>
    <x v="3"/>
    <x v="2"/>
    <x v="24"/>
    <x v="11"/>
  </r>
  <r>
    <x v="9"/>
    <x v="1"/>
    <x v="3"/>
    <x v="2"/>
    <x v="24"/>
    <x v="8"/>
  </r>
  <r>
    <x v="0"/>
    <x v="3"/>
    <x v="0"/>
    <x v="0"/>
    <x v="24"/>
    <x v="33"/>
  </r>
  <r>
    <x v="0"/>
    <x v="3"/>
    <x v="0"/>
    <x v="0"/>
    <x v="24"/>
    <x v="34"/>
  </r>
  <r>
    <x v="0"/>
    <x v="2"/>
    <x v="0"/>
    <x v="0"/>
    <x v="24"/>
    <x v="35"/>
  </r>
  <r>
    <x v="0"/>
    <x v="2"/>
    <x v="0"/>
    <x v="0"/>
    <x v="24"/>
    <x v="28"/>
  </r>
  <r>
    <x v="8"/>
    <x v="2"/>
    <x v="3"/>
    <x v="0"/>
    <x v="25"/>
    <x v="36"/>
  </r>
  <r>
    <x v="9"/>
    <x v="4"/>
    <x v="3"/>
    <x v="3"/>
    <x v="26"/>
    <x v="37"/>
  </r>
  <r>
    <x v="7"/>
    <x v="3"/>
    <x v="0"/>
    <x v="1"/>
    <x v="26"/>
    <x v="12"/>
  </r>
  <r>
    <x v="9"/>
    <x v="4"/>
    <x v="3"/>
    <x v="2"/>
    <x v="27"/>
    <x v="38"/>
  </r>
  <r>
    <x v="5"/>
    <x v="2"/>
    <x v="0"/>
    <x v="0"/>
    <x v="27"/>
    <x v="39"/>
  </r>
  <r>
    <x v="4"/>
    <x v="4"/>
    <x v="3"/>
    <x v="0"/>
    <x v="27"/>
    <x v="40"/>
  </r>
  <r>
    <x v="0"/>
    <x v="2"/>
    <x v="0"/>
    <x v="0"/>
    <x v="27"/>
    <x v="17"/>
  </r>
  <r>
    <x v="7"/>
    <x v="4"/>
    <x v="0"/>
    <x v="3"/>
    <x v="27"/>
    <x v="21"/>
  </r>
  <r>
    <x v="7"/>
    <x v="4"/>
    <x v="0"/>
    <x v="0"/>
    <x v="28"/>
    <x v="41"/>
  </r>
  <r>
    <x v="2"/>
    <x v="3"/>
    <x v="2"/>
    <x v="3"/>
    <x v="28"/>
    <x v="33"/>
  </r>
  <r>
    <x v="7"/>
    <x v="4"/>
    <x v="0"/>
    <x v="3"/>
    <x v="29"/>
    <x v="40"/>
  </r>
  <r>
    <x v="4"/>
    <x v="0"/>
    <x v="3"/>
    <x v="0"/>
    <x v="30"/>
    <x v="42"/>
  </r>
  <r>
    <x v="3"/>
    <x v="0"/>
    <x v="1"/>
    <x v="1"/>
    <x v="30"/>
    <x v="1"/>
  </r>
  <r>
    <x v="4"/>
    <x v="4"/>
    <x v="3"/>
    <x v="0"/>
    <x v="31"/>
    <x v="43"/>
  </r>
  <r>
    <x v="8"/>
    <x v="0"/>
    <x v="3"/>
    <x v="3"/>
    <x v="31"/>
    <x v="24"/>
  </r>
  <r>
    <x v="4"/>
    <x v="1"/>
    <x v="3"/>
    <x v="1"/>
    <x v="32"/>
    <x v="16"/>
  </r>
  <r>
    <x v="4"/>
    <x v="4"/>
    <x v="3"/>
    <x v="2"/>
    <x v="33"/>
    <x v="38"/>
  </r>
  <r>
    <x v="1"/>
    <x v="3"/>
    <x v="1"/>
    <x v="2"/>
    <x v="34"/>
    <x v="44"/>
  </r>
  <r>
    <x v="5"/>
    <x v="1"/>
    <x v="0"/>
    <x v="0"/>
    <x v="34"/>
    <x v="45"/>
  </r>
  <r>
    <x v="1"/>
    <x v="2"/>
    <x v="1"/>
    <x v="1"/>
    <x v="35"/>
    <x v="6"/>
  </r>
  <r>
    <x v="4"/>
    <x v="2"/>
    <x v="3"/>
    <x v="2"/>
    <x v="36"/>
    <x v="4"/>
  </r>
  <r>
    <x v="3"/>
    <x v="3"/>
    <x v="1"/>
    <x v="2"/>
    <x v="37"/>
    <x v="12"/>
  </r>
  <r>
    <x v="4"/>
    <x v="1"/>
    <x v="3"/>
    <x v="4"/>
    <x v="38"/>
    <x v="29"/>
  </r>
  <r>
    <x v="8"/>
    <x v="4"/>
    <x v="3"/>
    <x v="2"/>
    <x v="39"/>
    <x v="46"/>
  </r>
  <r>
    <x v="9"/>
    <x v="3"/>
    <x v="3"/>
    <x v="1"/>
    <x v="39"/>
    <x v="47"/>
  </r>
  <r>
    <x v="0"/>
    <x v="0"/>
    <x v="0"/>
    <x v="4"/>
    <x v="39"/>
    <x v="8"/>
  </r>
  <r>
    <x v="9"/>
    <x v="0"/>
    <x v="3"/>
    <x v="0"/>
    <x v="40"/>
    <x v="26"/>
  </r>
  <r>
    <x v="2"/>
    <x v="0"/>
    <x v="2"/>
    <x v="3"/>
    <x v="40"/>
    <x v="1"/>
  </r>
  <r>
    <x v="9"/>
    <x v="0"/>
    <x v="3"/>
    <x v="3"/>
    <x v="40"/>
    <x v="0"/>
  </r>
  <r>
    <x v="4"/>
    <x v="4"/>
    <x v="3"/>
    <x v="3"/>
    <x v="40"/>
    <x v="46"/>
  </r>
  <r>
    <x v="0"/>
    <x v="1"/>
    <x v="0"/>
    <x v="2"/>
    <x v="41"/>
    <x v="48"/>
  </r>
  <r>
    <x v="5"/>
    <x v="4"/>
    <x v="0"/>
    <x v="2"/>
    <x v="42"/>
    <x v="32"/>
  </r>
  <r>
    <x v="0"/>
    <x v="2"/>
    <x v="0"/>
    <x v="2"/>
    <x v="43"/>
    <x v="27"/>
  </r>
  <r>
    <x v="2"/>
    <x v="2"/>
    <x v="2"/>
    <x v="4"/>
    <x v="43"/>
    <x v="49"/>
  </r>
  <r>
    <x v="7"/>
    <x v="0"/>
    <x v="0"/>
    <x v="4"/>
    <x v="43"/>
    <x v="23"/>
  </r>
  <r>
    <x v="3"/>
    <x v="2"/>
    <x v="1"/>
    <x v="2"/>
    <x v="44"/>
    <x v="22"/>
  </r>
  <r>
    <x v="7"/>
    <x v="3"/>
    <x v="0"/>
    <x v="1"/>
    <x v="45"/>
    <x v="50"/>
  </r>
  <r>
    <x v="8"/>
    <x v="1"/>
    <x v="3"/>
    <x v="3"/>
    <x v="46"/>
    <x v="29"/>
  </r>
  <r>
    <x v="7"/>
    <x v="4"/>
    <x v="0"/>
    <x v="3"/>
    <x v="46"/>
    <x v="38"/>
  </r>
  <r>
    <x v="5"/>
    <x v="1"/>
    <x v="0"/>
    <x v="0"/>
    <x v="47"/>
    <x v="51"/>
  </r>
  <r>
    <x v="4"/>
    <x v="4"/>
    <x v="3"/>
    <x v="1"/>
    <x v="48"/>
    <x v="46"/>
  </r>
  <r>
    <x v="0"/>
    <x v="2"/>
    <x v="0"/>
    <x v="0"/>
    <x v="49"/>
    <x v="17"/>
  </r>
  <r>
    <x v="9"/>
    <x v="1"/>
    <x v="3"/>
    <x v="4"/>
    <x v="49"/>
    <x v="8"/>
  </r>
  <r>
    <x v="8"/>
    <x v="1"/>
    <x v="3"/>
    <x v="0"/>
    <x v="50"/>
    <x v="45"/>
  </r>
  <r>
    <x v="9"/>
    <x v="1"/>
    <x v="3"/>
    <x v="2"/>
    <x v="51"/>
    <x v="25"/>
  </r>
  <r>
    <x v="0"/>
    <x v="4"/>
    <x v="0"/>
    <x v="1"/>
    <x v="52"/>
    <x v="20"/>
  </r>
  <r>
    <x v="10"/>
    <x v="0"/>
    <x v="2"/>
    <x v="4"/>
    <x v="52"/>
    <x v="0"/>
  </r>
  <r>
    <x v="8"/>
    <x v="2"/>
    <x v="3"/>
    <x v="1"/>
    <x v="53"/>
    <x v="52"/>
  </r>
  <r>
    <x v="3"/>
    <x v="3"/>
    <x v="1"/>
    <x v="2"/>
    <x v="54"/>
    <x v="53"/>
  </r>
  <r>
    <x v="2"/>
    <x v="1"/>
    <x v="2"/>
    <x v="3"/>
    <x v="54"/>
    <x v="30"/>
  </r>
  <r>
    <x v="0"/>
    <x v="0"/>
    <x v="0"/>
    <x v="4"/>
    <x v="55"/>
    <x v="48"/>
  </r>
  <r>
    <x v="7"/>
    <x v="0"/>
    <x v="0"/>
    <x v="1"/>
    <x v="56"/>
    <x v="30"/>
  </r>
  <r>
    <x v="7"/>
    <x v="1"/>
    <x v="0"/>
    <x v="0"/>
    <x v="57"/>
    <x v="42"/>
  </r>
  <r>
    <x v="5"/>
    <x v="3"/>
    <x v="0"/>
    <x v="3"/>
    <x v="57"/>
    <x v="34"/>
  </r>
  <r>
    <x v="8"/>
    <x v="1"/>
    <x v="3"/>
    <x v="1"/>
    <x v="57"/>
    <x v="23"/>
  </r>
  <r>
    <x v="9"/>
    <x v="2"/>
    <x v="3"/>
    <x v="1"/>
    <x v="57"/>
    <x v="54"/>
  </r>
  <r>
    <x v="2"/>
    <x v="1"/>
    <x v="2"/>
    <x v="4"/>
    <x v="57"/>
    <x v="8"/>
  </r>
  <r>
    <x v="9"/>
    <x v="1"/>
    <x v="3"/>
    <x v="4"/>
    <x v="57"/>
    <x v="1"/>
  </r>
  <r>
    <x v="7"/>
    <x v="2"/>
    <x v="0"/>
    <x v="2"/>
    <x v="58"/>
    <x v="54"/>
  </r>
  <r>
    <x v="3"/>
    <x v="3"/>
    <x v="1"/>
    <x v="1"/>
    <x v="59"/>
    <x v="3"/>
  </r>
  <r>
    <x v="7"/>
    <x v="3"/>
    <x v="0"/>
    <x v="3"/>
    <x v="60"/>
    <x v="10"/>
  </r>
  <r>
    <x v="2"/>
    <x v="1"/>
    <x v="2"/>
    <x v="1"/>
    <x v="60"/>
    <x v="16"/>
  </r>
  <r>
    <x v="10"/>
    <x v="0"/>
    <x v="2"/>
    <x v="4"/>
    <x v="60"/>
    <x v="18"/>
  </r>
  <r>
    <x v="8"/>
    <x v="4"/>
    <x v="3"/>
    <x v="1"/>
    <x v="61"/>
    <x v="31"/>
  </r>
  <r>
    <x v="0"/>
    <x v="1"/>
    <x v="0"/>
    <x v="1"/>
    <x v="61"/>
    <x v="11"/>
  </r>
  <r>
    <x v="9"/>
    <x v="1"/>
    <x v="3"/>
    <x v="2"/>
    <x v="62"/>
    <x v="8"/>
  </r>
  <r>
    <x v="2"/>
    <x v="4"/>
    <x v="2"/>
    <x v="0"/>
    <x v="62"/>
    <x v="20"/>
  </r>
  <r>
    <x v="9"/>
    <x v="3"/>
    <x v="3"/>
    <x v="4"/>
    <x v="62"/>
    <x v="50"/>
  </r>
  <r>
    <x v="10"/>
    <x v="2"/>
    <x v="0"/>
    <x v="0"/>
    <x v="63"/>
    <x v="4"/>
  </r>
  <r>
    <x v="10"/>
    <x v="2"/>
    <x v="0"/>
    <x v="4"/>
    <x v="63"/>
    <x v="4"/>
  </r>
  <r>
    <x v="7"/>
    <x v="2"/>
    <x v="0"/>
    <x v="3"/>
    <x v="64"/>
    <x v="35"/>
  </r>
  <r>
    <x v="5"/>
    <x v="1"/>
    <x v="0"/>
    <x v="1"/>
    <x v="65"/>
    <x v="48"/>
  </r>
  <r>
    <x v="8"/>
    <x v="4"/>
    <x v="3"/>
    <x v="1"/>
    <x v="66"/>
    <x v="46"/>
  </r>
  <r>
    <x v="9"/>
    <x v="1"/>
    <x v="3"/>
    <x v="2"/>
    <x v="67"/>
    <x v="1"/>
  </r>
  <r>
    <x v="8"/>
    <x v="2"/>
    <x v="3"/>
    <x v="0"/>
    <x v="67"/>
    <x v="14"/>
  </r>
  <r>
    <x v="10"/>
    <x v="1"/>
    <x v="0"/>
    <x v="3"/>
    <x v="67"/>
    <x v="29"/>
  </r>
  <r>
    <x v="2"/>
    <x v="3"/>
    <x v="2"/>
    <x v="4"/>
    <x v="68"/>
    <x v="50"/>
  </r>
  <r>
    <x v="8"/>
    <x v="0"/>
    <x v="3"/>
    <x v="2"/>
    <x v="69"/>
    <x v="18"/>
  </r>
  <r>
    <x v="10"/>
    <x v="2"/>
    <x v="0"/>
    <x v="0"/>
    <x v="69"/>
    <x v="6"/>
  </r>
  <r>
    <x v="5"/>
    <x v="1"/>
    <x v="0"/>
    <x v="3"/>
    <x v="69"/>
    <x v="11"/>
  </r>
  <r>
    <x v="8"/>
    <x v="2"/>
    <x v="3"/>
    <x v="1"/>
    <x v="69"/>
    <x v="2"/>
  </r>
  <r>
    <x v="0"/>
    <x v="1"/>
    <x v="0"/>
    <x v="4"/>
    <x v="69"/>
    <x v="13"/>
  </r>
  <r>
    <x v="8"/>
    <x v="4"/>
    <x v="3"/>
    <x v="0"/>
    <x v="70"/>
    <x v="55"/>
  </r>
  <r>
    <x v="4"/>
    <x v="4"/>
    <x v="3"/>
    <x v="4"/>
    <x v="71"/>
    <x v="46"/>
  </r>
  <r>
    <x v="5"/>
    <x v="4"/>
    <x v="0"/>
    <x v="3"/>
    <x v="72"/>
    <x v="7"/>
  </r>
  <r>
    <x v="4"/>
    <x v="1"/>
    <x v="3"/>
    <x v="3"/>
    <x v="72"/>
    <x v="23"/>
  </r>
  <r>
    <x v="0"/>
    <x v="0"/>
    <x v="0"/>
    <x v="2"/>
    <x v="73"/>
    <x v="18"/>
  </r>
  <r>
    <x v="4"/>
    <x v="3"/>
    <x v="3"/>
    <x v="4"/>
    <x v="73"/>
    <x v="50"/>
  </r>
  <r>
    <x v="1"/>
    <x v="2"/>
    <x v="1"/>
    <x v="3"/>
    <x v="74"/>
    <x v="49"/>
  </r>
  <r>
    <x v="2"/>
    <x v="1"/>
    <x v="2"/>
    <x v="2"/>
    <x v="75"/>
    <x v="1"/>
  </r>
  <r>
    <x v="9"/>
    <x v="4"/>
    <x v="3"/>
    <x v="4"/>
    <x v="76"/>
    <x v="15"/>
  </r>
  <r>
    <x v="2"/>
    <x v="2"/>
    <x v="2"/>
    <x v="2"/>
    <x v="77"/>
    <x v="22"/>
  </r>
  <r>
    <x v="10"/>
    <x v="4"/>
    <x v="0"/>
    <x v="3"/>
    <x v="78"/>
    <x v="15"/>
  </r>
  <r>
    <x v="1"/>
    <x v="1"/>
    <x v="1"/>
    <x v="3"/>
    <x v="78"/>
    <x v="25"/>
  </r>
  <r>
    <x v="2"/>
    <x v="4"/>
    <x v="2"/>
    <x v="2"/>
    <x v="79"/>
    <x v="38"/>
  </r>
  <r>
    <x v="3"/>
    <x v="4"/>
    <x v="1"/>
    <x v="1"/>
    <x v="80"/>
    <x v="19"/>
  </r>
  <r>
    <x v="7"/>
    <x v="0"/>
    <x v="0"/>
    <x v="4"/>
    <x v="80"/>
    <x v="23"/>
  </r>
  <r>
    <x v="2"/>
    <x v="2"/>
    <x v="2"/>
    <x v="1"/>
    <x v="81"/>
    <x v="56"/>
  </r>
  <r>
    <x v="4"/>
    <x v="3"/>
    <x v="3"/>
    <x v="3"/>
    <x v="82"/>
    <x v="47"/>
  </r>
  <r>
    <x v="9"/>
    <x v="3"/>
    <x v="3"/>
    <x v="4"/>
    <x v="82"/>
    <x v="53"/>
  </r>
  <r>
    <x v="9"/>
    <x v="0"/>
    <x v="3"/>
    <x v="0"/>
    <x v="83"/>
    <x v="8"/>
  </r>
  <r>
    <x v="7"/>
    <x v="2"/>
    <x v="0"/>
    <x v="0"/>
    <x v="84"/>
    <x v="2"/>
  </r>
  <r>
    <x v="5"/>
    <x v="0"/>
    <x v="0"/>
    <x v="3"/>
    <x v="84"/>
    <x v="24"/>
  </r>
  <r>
    <x v="5"/>
    <x v="0"/>
    <x v="0"/>
    <x v="1"/>
    <x v="84"/>
    <x v="48"/>
  </r>
  <r>
    <x v="3"/>
    <x v="1"/>
    <x v="1"/>
    <x v="0"/>
    <x v="85"/>
    <x v="25"/>
  </r>
  <r>
    <x v="2"/>
    <x v="3"/>
    <x v="2"/>
    <x v="1"/>
    <x v="85"/>
    <x v="12"/>
  </r>
  <r>
    <x v="11"/>
    <x v="1"/>
    <x v="2"/>
    <x v="4"/>
    <x v="85"/>
    <x v="25"/>
  </r>
  <r>
    <x v="4"/>
    <x v="0"/>
    <x v="3"/>
    <x v="0"/>
    <x v="86"/>
    <x v="42"/>
  </r>
  <r>
    <x v="8"/>
    <x v="1"/>
    <x v="3"/>
    <x v="2"/>
    <x v="87"/>
    <x v="30"/>
  </r>
  <r>
    <x v="10"/>
    <x v="3"/>
    <x v="0"/>
    <x v="2"/>
    <x v="88"/>
    <x v="44"/>
  </r>
  <r>
    <x v="9"/>
    <x v="3"/>
    <x v="3"/>
    <x v="0"/>
    <x v="89"/>
    <x v="57"/>
  </r>
  <r>
    <x v="8"/>
    <x v="1"/>
    <x v="3"/>
    <x v="3"/>
    <x v="90"/>
    <x v="30"/>
  </r>
  <r>
    <x v="0"/>
    <x v="4"/>
    <x v="0"/>
    <x v="3"/>
    <x v="90"/>
    <x v="19"/>
  </r>
  <r>
    <x v="8"/>
    <x v="2"/>
    <x v="3"/>
    <x v="2"/>
    <x v="91"/>
    <x v="49"/>
  </r>
  <r>
    <x v="9"/>
    <x v="3"/>
    <x v="3"/>
    <x v="0"/>
    <x v="91"/>
    <x v="58"/>
  </r>
  <r>
    <x v="5"/>
    <x v="0"/>
    <x v="0"/>
    <x v="0"/>
    <x v="91"/>
    <x v="16"/>
  </r>
  <r>
    <x v="7"/>
    <x v="3"/>
    <x v="0"/>
    <x v="1"/>
    <x v="91"/>
    <x v="57"/>
  </r>
  <r>
    <x v="4"/>
    <x v="0"/>
    <x v="3"/>
    <x v="4"/>
    <x v="91"/>
    <x v="29"/>
  </r>
  <r>
    <x v="4"/>
    <x v="4"/>
    <x v="3"/>
    <x v="2"/>
    <x v="92"/>
    <x v="21"/>
  </r>
  <r>
    <x v="5"/>
    <x v="3"/>
    <x v="0"/>
    <x v="0"/>
    <x v="93"/>
    <x v="53"/>
  </r>
  <r>
    <x v="10"/>
    <x v="0"/>
    <x v="2"/>
    <x v="1"/>
    <x v="94"/>
    <x v="1"/>
  </r>
  <r>
    <x v="7"/>
    <x v="2"/>
    <x v="0"/>
    <x v="1"/>
    <x v="94"/>
    <x v="4"/>
  </r>
  <r>
    <x v="8"/>
    <x v="0"/>
    <x v="3"/>
    <x v="2"/>
    <x v="95"/>
    <x v="0"/>
  </r>
  <r>
    <x v="4"/>
    <x v="2"/>
    <x v="3"/>
    <x v="3"/>
    <x v="96"/>
    <x v="52"/>
  </r>
  <r>
    <x v="9"/>
    <x v="3"/>
    <x v="3"/>
    <x v="0"/>
    <x v="97"/>
    <x v="59"/>
  </r>
  <r>
    <x v="5"/>
    <x v="0"/>
    <x v="0"/>
    <x v="0"/>
    <x v="98"/>
    <x v="9"/>
  </r>
  <r>
    <x v="3"/>
    <x v="2"/>
    <x v="1"/>
    <x v="3"/>
    <x v="99"/>
    <x v="28"/>
  </r>
  <r>
    <x v="5"/>
    <x v="4"/>
    <x v="0"/>
    <x v="3"/>
    <x v="99"/>
    <x v="60"/>
  </r>
  <r>
    <x v="5"/>
    <x v="1"/>
    <x v="0"/>
    <x v="0"/>
    <x v="100"/>
    <x v="42"/>
  </r>
  <r>
    <x v="2"/>
    <x v="2"/>
    <x v="2"/>
    <x v="4"/>
    <x v="100"/>
    <x v="27"/>
  </r>
  <r>
    <x v="8"/>
    <x v="4"/>
    <x v="3"/>
    <x v="3"/>
    <x v="101"/>
    <x v="19"/>
  </r>
  <r>
    <x v="11"/>
    <x v="0"/>
    <x v="2"/>
    <x v="2"/>
    <x v="102"/>
    <x v="8"/>
  </r>
  <r>
    <x v="9"/>
    <x v="3"/>
    <x v="3"/>
    <x v="2"/>
    <x v="103"/>
    <x v="58"/>
  </r>
  <r>
    <x v="7"/>
    <x v="3"/>
    <x v="0"/>
    <x v="2"/>
    <x v="103"/>
    <x v="57"/>
  </r>
  <r>
    <x v="11"/>
    <x v="0"/>
    <x v="2"/>
    <x v="2"/>
    <x v="103"/>
    <x v="61"/>
  </r>
  <r>
    <x v="0"/>
    <x v="4"/>
    <x v="0"/>
    <x v="4"/>
    <x v="103"/>
    <x v="60"/>
  </r>
  <r>
    <x v="0"/>
    <x v="4"/>
    <x v="0"/>
    <x v="0"/>
    <x v="104"/>
    <x v="62"/>
  </r>
  <r>
    <x v="10"/>
    <x v="1"/>
    <x v="0"/>
    <x v="1"/>
    <x v="104"/>
    <x v="16"/>
  </r>
  <r>
    <x v="10"/>
    <x v="4"/>
    <x v="0"/>
    <x v="1"/>
    <x v="105"/>
    <x v="32"/>
  </r>
  <r>
    <x v="8"/>
    <x v="4"/>
    <x v="3"/>
    <x v="4"/>
    <x v="105"/>
    <x v="15"/>
  </r>
  <r>
    <x v="0"/>
    <x v="2"/>
    <x v="0"/>
    <x v="1"/>
    <x v="106"/>
    <x v="56"/>
  </r>
  <r>
    <x v="2"/>
    <x v="3"/>
    <x v="2"/>
    <x v="2"/>
    <x v="107"/>
    <x v="63"/>
  </r>
  <r>
    <x v="5"/>
    <x v="4"/>
    <x v="0"/>
    <x v="0"/>
    <x v="107"/>
    <x v="62"/>
  </r>
  <r>
    <x v="5"/>
    <x v="2"/>
    <x v="0"/>
    <x v="3"/>
    <x v="107"/>
    <x v="6"/>
  </r>
  <r>
    <x v="7"/>
    <x v="0"/>
    <x v="0"/>
    <x v="4"/>
    <x v="107"/>
    <x v="18"/>
  </r>
  <r>
    <x v="5"/>
    <x v="4"/>
    <x v="0"/>
    <x v="4"/>
    <x v="107"/>
    <x v="38"/>
  </r>
  <r>
    <x v="5"/>
    <x v="1"/>
    <x v="0"/>
    <x v="3"/>
    <x v="108"/>
    <x v="8"/>
  </r>
  <r>
    <x v="4"/>
    <x v="2"/>
    <x v="3"/>
    <x v="1"/>
    <x v="108"/>
    <x v="14"/>
  </r>
  <r>
    <x v="7"/>
    <x v="3"/>
    <x v="0"/>
    <x v="2"/>
    <x v="109"/>
    <x v="64"/>
  </r>
  <r>
    <x v="8"/>
    <x v="1"/>
    <x v="3"/>
    <x v="1"/>
    <x v="109"/>
    <x v="1"/>
  </r>
  <r>
    <x v="7"/>
    <x v="1"/>
    <x v="0"/>
    <x v="4"/>
    <x v="109"/>
    <x v="25"/>
  </r>
  <r>
    <x v="10"/>
    <x v="2"/>
    <x v="0"/>
    <x v="0"/>
    <x v="110"/>
    <x v="4"/>
  </r>
  <r>
    <x v="3"/>
    <x v="4"/>
    <x v="1"/>
    <x v="4"/>
    <x v="110"/>
    <x v="40"/>
  </r>
  <r>
    <x v="9"/>
    <x v="4"/>
    <x v="3"/>
    <x v="4"/>
    <x v="110"/>
    <x v="65"/>
  </r>
  <r>
    <x v="9"/>
    <x v="0"/>
    <x v="3"/>
    <x v="4"/>
    <x v="110"/>
    <x v="11"/>
  </r>
  <r>
    <x v="2"/>
    <x v="4"/>
    <x v="2"/>
    <x v="2"/>
    <x v="111"/>
    <x v="32"/>
  </r>
  <r>
    <x v="4"/>
    <x v="0"/>
    <x v="3"/>
    <x v="3"/>
    <x v="111"/>
    <x v="16"/>
  </r>
  <r>
    <x v="2"/>
    <x v="2"/>
    <x v="2"/>
    <x v="2"/>
    <x v="112"/>
    <x v="52"/>
  </r>
  <r>
    <x v="3"/>
    <x v="3"/>
    <x v="1"/>
    <x v="3"/>
    <x v="112"/>
    <x v="64"/>
  </r>
  <r>
    <x v="2"/>
    <x v="4"/>
    <x v="2"/>
    <x v="3"/>
    <x v="112"/>
    <x v="7"/>
  </r>
  <r>
    <x v="4"/>
    <x v="0"/>
    <x v="3"/>
    <x v="1"/>
    <x v="112"/>
    <x v="9"/>
  </r>
  <r>
    <x v="7"/>
    <x v="4"/>
    <x v="0"/>
    <x v="0"/>
    <x v="113"/>
    <x v="65"/>
  </r>
  <r>
    <x v="7"/>
    <x v="2"/>
    <x v="0"/>
    <x v="1"/>
    <x v="113"/>
    <x v="4"/>
  </r>
  <r>
    <x v="0"/>
    <x v="3"/>
    <x v="0"/>
    <x v="4"/>
    <x v="114"/>
    <x v="53"/>
  </r>
  <r>
    <x v="5"/>
    <x v="0"/>
    <x v="0"/>
    <x v="0"/>
    <x v="115"/>
    <x v="0"/>
  </r>
  <r>
    <x v="5"/>
    <x v="4"/>
    <x v="0"/>
    <x v="0"/>
    <x v="116"/>
    <x v="40"/>
  </r>
  <r>
    <x v="3"/>
    <x v="4"/>
    <x v="1"/>
    <x v="3"/>
    <x v="116"/>
    <x v="60"/>
  </r>
  <r>
    <x v="1"/>
    <x v="1"/>
    <x v="1"/>
    <x v="3"/>
    <x v="116"/>
    <x v="16"/>
  </r>
  <r>
    <x v="10"/>
    <x v="0"/>
    <x v="2"/>
    <x v="2"/>
    <x v="117"/>
    <x v="8"/>
  </r>
  <r>
    <x v="5"/>
    <x v="2"/>
    <x v="0"/>
    <x v="2"/>
    <x v="117"/>
    <x v="66"/>
  </r>
  <r>
    <x v="5"/>
    <x v="1"/>
    <x v="0"/>
    <x v="1"/>
    <x v="117"/>
    <x v="9"/>
  </r>
  <r>
    <x v="0"/>
    <x v="0"/>
    <x v="0"/>
    <x v="4"/>
    <x v="118"/>
    <x v="1"/>
  </r>
  <r>
    <x v="8"/>
    <x v="2"/>
    <x v="3"/>
    <x v="0"/>
    <x v="119"/>
    <x v="35"/>
  </r>
  <r>
    <x v="1"/>
    <x v="0"/>
    <x v="1"/>
    <x v="3"/>
    <x v="120"/>
    <x v="1"/>
  </r>
  <r>
    <x v="5"/>
    <x v="4"/>
    <x v="0"/>
    <x v="2"/>
    <x v="121"/>
    <x v="40"/>
  </r>
  <r>
    <x v="4"/>
    <x v="0"/>
    <x v="3"/>
    <x v="1"/>
    <x v="121"/>
    <x v="9"/>
  </r>
  <r>
    <x v="7"/>
    <x v="4"/>
    <x v="0"/>
    <x v="2"/>
    <x v="122"/>
    <x v="7"/>
  </r>
  <r>
    <x v="11"/>
    <x v="4"/>
    <x v="2"/>
    <x v="3"/>
    <x v="122"/>
    <x v="65"/>
  </r>
  <r>
    <x v="0"/>
    <x v="0"/>
    <x v="0"/>
    <x v="3"/>
    <x v="122"/>
    <x v="9"/>
  </r>
  <r>
    <x v="1"/>
    <x v="2"/>
    <x v="1"/>
    <x v="1"/>
    <x v="122"/>
    <x v="54"/>
  </r>
  <r>
    <x v="2"/>
    <x v="3"/>
    <x v="2"/>
    <x v="0"/>
    <x v="123"/>
    <x v="64"/>
  </r>
  <r>
    <x v="1"/>
    <x v="0"/>
    <x v="1"/>
    <x v="3"/>
    <x v="123"/>
    <x v="0"/>
  </r>
  <r>
    <x v="5"/>
    <x v="1"/>
    <x v="0"/>
    <x v="4"/>
    <x v="123"/>
    <x v="13"/>
  </r>
  <r>
    <x v="9"/>
    <x v="1"/>
    <x v="3"/>
    <x v="2"/>
    <x v="124"/>
    <x v="16"/>
  </r>
  <r>
    <x v="0"/>
    <x v="2"/>
    <x v="0"/>
    <x v="2"/>
    <x v="125"/>
    <x v="27"/>
  </r>
  <r>
    <x v="3"/>
    <x v="0"/>
    <x v="1"/>
    <x v="0"/>
    <x v="125"/>
    <x v="24"/>
  </r>
  <r>
    <x v="8"/>
    <x v="4"/>
    <x v="3"/>
    <x v="1"/>
    <x v="126"/>
    <x v="7"/>
  </r>
  <r>
    <x v="5"/>
    <x v="1"/>
    <x v="0"/>
    <x v="2"/>
    <x v="127"/>
    <x v="30"/>
  </r>
  <r>
    <x v="7"/>
    <x v="4"/>
    <x v="0"/>
    <x v="4"/>
    <x v="127"/>
    <x v="38"/>
  </r>
  <r>
    <x v="4"/>
    <x v="3"/>
    <x v="3"/>
    <x v="0"/>
    <x v="128"/>
    <x v="50"/>
  </r>
  <r>
    <x v="1"/>
    <x v="3"/>
    <x v="1"/>
    <x v="3"/>
    <x v="128"/>
    <x v="33"/>
  </r>
  <r>
    <x v="8"/>
    <x v="1"/>
    <x v="3"/>
    <x v="0"/>
    <x v="129"/>
    <x v="24"/>
  </r>
  <r>
    <x v="0"/>
    <x v="2"/>
    <x v="0"/>
    <x v="1"/>
    <x v="129"/>
    <x v="6"/>
  </r>
  <r>
    <x v="7"/>
    <x v="1"/>
    <x v="0"/>
    <x v="0"/>
    <x v="130"/>
    <x v="23"/>
  </r>
  <r>
    <x v="0"/>
    <x v="0"/>
    <x v="0"/>
    <x v="2"/>
    <x v="131"/>
    <x v="61"/>
  </r>
  <r>
    <x v="10"/>
    <x v="0"/>
    <x v="2"/>
    <x v="0"/>
    <x v="132"/>
    <x v="25"/>
  </r>
  <r>
    <x v="2"/>
    <x v="3"/>
    <x v="2"/>
    <x v="0"/>
    <x v="132"/>
    <x v="67"/>
  </r>
  <r>
    <x v="7"/>
    <x v="1"/>
    <x v="0"/>
    <x v="0"/>
    <x v="133"/>
    <x v="13"/>
  </r>
  <r>
    <x v="1"/>
    <x v="1"/>
    <x v="1"/>
    <x v="3"/>
    <x v="133"/>
    <x v="11"/>
  </r>
  <r>
    <x v="5"/>
    <x v="3"/>
    <x v="0"/>
    <x v="4"/>
    <x v="133"/>
    <x v="47"/>
  </r>
  <r>
    <x v="5"/>
    <x v="4"/>
    <x v="0"/>
    <x v="2"/>
    <x v="134"/>
    <x v="46"/>
  </r>
  <r>
    <x v="4"/>
    <x v="4"/>
    <x v="3"/>
    <x v="1"/>
    <x v="134"/>
    <x v="21"/>
  </r>
  <r>
    <x v="1"/>
    <x v="1"/>
    <x v="1"/>
    <x v="2"/>
    <x v="135"/>
    <x v="16"/>
  </r>
  <r>
    <x v="11"/>
    <x v="1"/>
    <x v="2"/>
    <x v="4"/>
    <x v="135"/>
    <x v="1"/>
  </r>
  <r>
    <x v="7"/>
    <x v="3"/>
    <x v="0"/>
    <x v="1"/>
    <x v="136"/>
    <x v="34"/>
  </r>
  <r>
    <x v="4"/>
    <x v="2"/>
    <x v="3"/>
    <x v="3"/>
    <x v="137"/>
    <x v="56"/>
  </r>
  <r>
    <x v="5"/>
    <x v="1"/>
    <x v="0"/>
    <x v="0"/>
    <x v="138"/>
    <x v="45"/>
  </r>
  <r>
    <x v="10"/>
    <x v="4"/>
    <x v="0"/>
    <x v="3"/>
    <x v="139"/>
    <x v="38"/>
  </r>
  <r>
    <x v="10"/>
    <x v="0"/>
    <x v="2"/>
    <x v="3"/>
    <x v="140"/>
    <x v="25"/>
  </r>
  <r>
    <x v="10"/>
    <x v="4"/>
    <x v="0"/>
    <x v="2"/>
    <x v="141"/>
    <x v="37"/>
  </r>
  <r>
    <x v="8"/>
    <x v="1"/>
    <x v="3"/>
    <x v="2"/>
    <x v="141"/>
    <x v="30"/>
  </r>
  <r>
    <x v="8"/>
    <x v="1"/>
    <x v="3"/>
    <x v="3"/>
    <x v="141"/>
    <x v="61"/>
  </r>
  <r>
    <x v="4"/>
    <x v="3"/>
    <x v="3"/>
    <x v="3"/>
    <x v="141"/>
    <x v="68"/>
  </r>
  <r>
    <x v="11"/>
    <x v="3"/>
    <x v="2"/>
    <x v="4"/>
    <x v="142"/>
    <x v="33"/>
  </r>
  <r>
    <x v="4"/>
    <x v="1"/>
    <x v="3"/>
    <x v="0"/>
    <x v="143"/>
    <x v="8"/>
  </r>
  <r>
    <x v="4"/>
    <x v="3"/>
    <x v="3"/>
    <x v="3"/>
    <x v="143"/>
    <x v="69"/>
  </r>
  <r>
    <x v="8"/>
    <x v="4"/>
    <x v="3"/>
    <x v="3"/>
    <x v="144"/>
    <x v="5"/>
  </r>
  <r>
    <x v="10"/>
    <x v="2"/>
    <x v="0"/>
    <x v="3"/>
    <x v="145"/>
    <x v="27"/>
  </r>
  <r>
    <x v="0"/>
    <x v="4"/>
    <x v="0"/>
    <x v="2"/>
    <x v="146"/>
    <x v="31"/>
  </r>
  <r>
    <x v="0"/>
    <x v="2"/>
    <x v="0"/>
    <x v="0"/>
    <x v="147"/>
    <x v="4"/>
  </r>
  <r>
    <x v="3"/>
    <x v="1"/>
    <x v="1"/>
    <x v="3"/>
    <x v="147"/>
    <x v="18"/>
  </r>
  <r>
    <x v="1"/>
    <x v="1"/>
    <x v="1"/>
    <x v="1"/>
    <x v="147"/>
    <x v="48"/>
  </r>
  <r>
    <x v="8"/>
    <x v="3"/>
    <x v="3"/>
    <x v="4"/>
    <x v="148"/>
    <x v="3"/>
  </r>
  <r>
    <x v="8"/>
    <x v="1"/>
    <x v="3"/>
    <x v="4"/>
    <x v="148"/>
    <x v="25"/>
  </r>
  <r>
    <x v="2"/>
    <x v="2"/>
    <x v="2"/>
    <x v="1"/>
    <x v="149"/>
    <x v="22"/>
  </r>
  <r>
    <x v="10"/>
    <x v="2"/>
    <x v="0"/>
    <x v="3"/>
    <x v="150"/>
    <x v="4"/>
  </r>
  <r>
    <x v="9"/>
    <x v="1"/>
    <x v="3"/>
    <x v="0"/>
    <x v="151"/>
    <x v="23"/>
  </r>
  <r>
    <x v="2"/>
    <x v="2"/>
    <x v="2"/>
    <x v="1"/>
    <x v="151"/>
    <x v="66"/>
  </r>
  <r>
    <x v="2"/>
    <x v="2"/>
    <x v="2"/>
    <x v="4"/>
    <x v="151"/>
    <x v="56"/>
  </r>
  <r>
    <x v="4"/>
    <x v="3"/>
    <x v="3"/>
    <x v="4"/>
    <x v="151"/>
    <x v="50"/>
  </r>
  <r>
    <x v="7"/>
    <x v="0"/>
    <x v="0"/>
    <x v="4"/>
    <x v="152"/>
    <x v="0"/>
  </r>
  <r>
    <x v="1"/>
    <x v="2"/>
    <x v="1"/>
    <x v="0"/>
    <x v="153"/>
    <x v="14"/>
  </r>
  <r>
    <x v="2"/>
    <x v="3"/>
    <x v="2"/>
    <x v="0"/>
    <x v="154"/>
    <x v="57"/>
  </r>
  <r>
    <x v="7"/>
    <x v="0"/>
    <x v="0"/>
    <x v="1"/>
    <x v="154"/>
    <x v="29"/>
  </r>
  <r>
    <x v="7"/>
    <x v="2"/>
    <x v="0"/>
    <x v="2"/>
    <x v="155"/>
    <x v="54"/>
  </r>
  <r>
    <x v="7"/>
    <x v="1"/>
    <x v="0"/>
    <x v="0"/>
    <x v="155"/>
    <x v="13"/>
  </r>
  <r>
    <x v="5"/>
    <x v="2"/>
    <x v="0"/>
    <x v="4"/>
    <x v="155"/>
    <x v="49"/>
  </r>
  <r>
    <x v="0"/>
    <x v="4"/>
    <x v="0"/>
    <x v="4"/>
    <x v="155"/>
    <x v="31"/>
  </r>
  <r>
    <x v="9"/>
    <x v="4"/>
    <x v="3"/>
    <x v="2"/>
    <x v="156"/>
    <x v="40"/>
  </r>
  <r>
    <x v="11"/>
    <x v="4"/>
    <x v="2"/>
    <x v="1"/>
    <x v="156"/>
    <x v="37"/>
  </r>
  <r>
    <x v="5"/>
    <x v="0"/>
    <x v="0"/>
    <x v="2"/>
    <x v="157"/>
    <x v="30"/>
  </r>
  <r>
    <x v="1"/>
    <x v="3"/>
    <x v="1"/>
    <x v="4"/>
    <x v="157"/>
    <x v="44"/>
  </r>
  <r>
    <x v="0"/>
    <x v="1"/>
    <x v="0"/>
    <x v="4"/>
    <x v="157"/>
    <x v="61"/>
  </r>
  <r>
    <x v="8"/>
    <x v="1"/>
    <x v="3"/>
    <x v="2"/>
    <x v="158"/>
    <x v="48"/>
  </r>
  <r>
    <x v="9"/>
    <x v="1"/>
    <x v="3"/>
    <x v="2"/>
    <x v="158"/>
    <x v="18"/>
  </r>
  <r>
    <x v="1"/>
    <x v="4"/>
    <x v="1"/>
    <x v="0"/>
    <x v="158"/>
    <x v="5"/>
  </r>
  <r>
    <x v="4"/>
    <x v="2"/>
    <x v="3"/>
    <x v="0"/>
    <x v="158"/>
    <x v="54"/>
  </r>
  <r>
    <x v="7"/>
    <x v="4"/>
    <x v="0"/>
    <x v="1"/>
    <x v="158"/>
    <x v="19"/>
  </r>
  <r>
    <x v="5"/>
    <x v="0"/>
    <x v="0"/>
    <x v="2"/>
    <x v="159"/>
    <x v="18"/>
  </r>
  <r>
    <x v="3"/>
    <x v="1"/>
    <x v="1"/>
    <x v="3"/>
    <x v="159"/>
    <x v="0"/>
  </r>
  <r>
    <x v="8"/>
    <x v="4"/>
    <x v="3"/>
    <x v="1"/>
    <x v="159"/>
    <x v="46"/>
  </r>
  <r>
    <x v="4"/>
    <x v="4"/>
    <x v="3"/>
    <x v="1"/>
    <x v="159"/>
    <x v="19"/>
  </r>
  <r>
    <x v="8"/>
    <x v="4"/>
    <x v="3"/>
    <x v="1"/>
    <x v="160"/>
    <x v="5"/>
  </r>
  <r>
    <x v="11"/>
    <x v="1"/>
    <x v="2"/>
    <x v="3"/>
    <x v="161"/>
    <x v="25"/>
  </r>
  <r>
    <x v="7"/>
    <x v="4"/>
    <x v="0"/>
    <x v="1"/>
    <x v="161"/>
    <x v="32"/>
  </r>
  <r>
    <x v="4"/>
    <x v="2"/>
    <x v="3"/>
    <x v="1"/>
    <x v="161"/>
    <x v="28"/>
  </r>
  <r>
    <x v="4"/>
    <x v="4"/>
    <x v="3"/>
    <x v="2"/>
    <x v="162"/>
    <x v="19"/>
  </r>
  <r>
    <x v="1"/>
    <x v="0"/>
    <x v="1"/>
    <x v="4"/>
    <x v="162"/>
    <x v="24"/>
  </r>
  <r>
    <x v="1"/>
    <x v="2"/>
    <x v="1"/>
    <x v="1"/>
    <x v="163"/>
    <x v="4"/>
  </r>
  <r>
    <x v="4"/>
    <x v="4"/>
    <x v="3"/>
    <x v="4"/>
    <x v="163"/>
    <x v="31"/>
  </r>
  <r>
    <x v="2"/>
    <x v="2"/>
    <x v="2"/>
    <x v="3"/>
    <x v="164"/>
    <x v="56"/>
  </r>
  <r>
    <x v="11"/>
    <x v="1"/>
    <x v="2"/>
    <x v="2"/>
    <x v="165"/>
    <x v="29"/>
  </r>
  <r>
    <x v="1"/>
    <x v="3"/>
    <x v="1"/>
    <x v="4"/>
    <x v="166"/>
    <x v="44"/>
  </r>
  <r>
    <x v="2"/>
    <x v="4"/>
    <x v="2"/>
    <x v="0"/>
    <x v="167"/>
    <x v="15"/>
  </r>
  <r>
    <x v="8"/>
    <x v="1"/>
    <x v="3"/>
    <x v="4"/>
    <x v="167"/>
    <x v="29"/>
  </r>
  <r>
    <x v="2"/>
    <x v="0"/>
    <x v="2"/>
    <x v="4"/>
    <x v="168"/>
    <x v="24"/>
  </r>
  <r>
    <x v="4"/>
    <x v="3"/>
    <x v="3"/>
    <x v="1"/>
    <x v="169"/>
    <x v="69"/>
  </r>
  <r>
    <x v="7"/>
    <x v="1"/>
    <x v="0"/>
    <x v="0"/>
    <x v="170"/>
    <x v="70"/>
  </r>
  <r>
    <x v="4"/>
    <x v="1"/>
    <x v="3"/>
    <x v="0"/>
    <x v="170"/>
    <x v="8"/>
  </r>
  <r>
    <x v="0"/>
    <x v="2"/>
    <x v="0"/>
    <x v="0"/>
    <x v="170"/>
    <x v="17"/>
  </r>
  <r>
    <x v="1"/>
    <x v="3"/>
    <x v="1"/>
    <x v="1"/>
    <x v="171"/>
    <x v="58"/>
  </r>
  <r>
    <x v="6"/>
    <x v="3"/>
    <x v="3"/>
    <x v="0"/>
    <x v="172"/>
    <x v="59"/>
  </r>
  <r>
    <x v="5"/>
    <x v="2"/>
    <x v="0"/>
    <x v="2"/>
    <x v="173"/>
    <x v="71"/>
  </r>
  <r>
    <x v="11"/>
    <x v="1"/>
    <x v="2"/>
    <x v="3"/>
    <x v="173"/>
    <x v="29"/>
  </r>
  <r>
    <x v="7"/>
    <x v="0"/>
    <x v="0"/>
    <x v="1"/>
    <x v="173"/>
    <x v="25"/>
  </r>
  <r>
    <x v="0"/>
    <x v="3"/>
    <x v="0"/>
    <x v="1"/>
    <x v="173"/>
    <x v="44"/>
  </r>
  <r>
    <x v="7"/>
    <x v="1"/>
    <x v="0"/>
    <x v="4"/>
    <x v="173"/>
    <x v="8"/>
  </r>
  <r>
    <x v="1"/>
    <x v="0"/>
    <x v="1"/>
    <x v="4"/>
    <x v="173"/>
    <x v="13"/>
  </r>
  <r>
    <x v="4"/>
    <x v="0"/>
    <x v="3"/>
    <x v="4"/>
    <x v="174"/>
    <x v="24"/>
  </r>
  <r>
    <x v="4"/>
    <x v="2"/>
    <x v="3"/>
    <x v="2"/>
    <x v="175"/>
    <x v="49"/>
  </r>
  <r>
    <x v="6"/>
    <x v="1"/>
    <x v="3"/>
    <x v="0"/>
    <x v="176"/>
    <x v="9"/>
  </r>
  <r>
    <x v="5"/>
    <x v="2"/>
    <x v="0"/>
    <x v="3"/>
    <x v="176"/>
    <x v="66"/>
  </r>
  <r>
    <x v="1"/>
    <x v="2"/>
    <x v="1"/>
    <x v="2"/>
    <x v="177"/>
    <x v="71"/>
  </r>
  <r>
    <x v="10"/>
    <x v="2"/>
    <x v="0"/>
    <x v="1"/>
    <x v="177"/>
    <x v="49"/>
  </r>
  <r>
    <x v="10"/>
    <x v="1"/>
    <x v="0"/>
    <x v="1"/>
    <x v="177"/>
    <x v="30"/>
  </r>
  <r>
    <x v="2"/>
    <x v="3"/>
    <x v="2"/>
    <x v="2"/>
    <x v="178"/>
    <x v="64"/>
  </r>
  <r>
    <x v="5"/>
    <x v="0"/>
    <x v="0"/>
    <x v="2"/>
    <x v="179"/>
    <x v="8"/>
  </r>
  <r>
    <x v="5"/>
    <x v="1"/>
    <x v="0"/>
    <x v="2"/>
    <x v="179"/>
    <x v="13"/>
  </r>
  <r>
    <x v="1"/>
    <x v="4"/>
    <x v="1"/>
    <x v="2"/>
    <x v="179"/>
    <x v="5"/>
  </r>
  <r>
    <x v="3"/>
    <x v="4"/>
    <x v="1"/>
    <x v="3"/>
    <x v="179"/>
    <x v="21"/>
  </r>
  <r>
    <x v="5"/>
    <x v="3"/>
    <x v="0"/>
    <x v="1"/>
    <x v="179"/>
    <x v="68"/>
  </r>
  <r>
    <x v="5"/>
    <x v="1"/>
    <x v="0"/>
    <x v="4"/>
    <x v="179"/>
    <x v="1"/>
  </r>
  <r>
    <x v="8"/>
    <x v="2"/>
    <x v="3"/>
    <x v="4"/>
    <x v="180"/>
    <x v="4"/>
  </r>
  <r>
    <x v="9"/>
    <x v="2"/>
    <x v="3"/>
    <x v="2"/>
    <x v="181"/>
    <x v="4"/>
  </r>
  <r>
    <x v="4"/>
    <x v="4"/>
    <x v="3"/>
    <x v="2"/>
    <x v="181"/>
    <x v="7"/>
  </r>
  <r>
    <x v="3"/>
    <x v="0"/>
    <x v="1"/>
    <x v="3"/>
    <x v="181"/>
    <x v="48"/>
  </r>
  <r>
    <x v="3"/>
    <x v="1"/>
    <x v="1"/>
    <x v="1"/>
    <x v="181"/>
    <x v="18"/>
  </r>
  <r>
    <x v="4"/>
    <x v="1"/>
    <x v="3"/>
    <x v="2"/>
    <x v="182"/>
    <x v="11"/>
  </r>
  <r>
    <x v="5"/>
    <x v="0"/>
    <x v="0"/>
    <x v="1"/>
    <x v="183"/>
    <x v="1"/>
  </r>
  <r>
    <x v="10"/>
    <x v="0"/>
    <x v="2"/>
    <x v="4"/>
    <x v="183"/>
    <x v="48"/>
  </r>
  <r>
    <x v="2"/>
    <x v="3"/>
    <x v="2"/>
    <x v="3"/>
    <x v="184"/>
    <x v="50"/>
  </r>
  <r>
    <x v="0"/>
    <x v="3"/>
    <x v="0"/>
    <x v="3"/>
    <x v="184"/>
    <x v="47"/>
  </r>
  <r>
    <x v="4"/>
    <x v="4"/>
    <x v="3"/>
    <x v="2"/>
    <x v="185"/>
    <x v="38"/>
  </r>
  <r>
    <x v="7"/>
    <x v="0"/>
    <x v="0"/>
    <x v="4"/>
    <x v="185"/>
    <x v="48"/>
  </r>
  <r>
    <x v="5"/>
    <x v="4"/>
    <x v="0"/>
    <x v="2"/>
    <x v="186"/>
    <x v="31"/>
  </r>
  <r>
    <x v="1"/>
    <x v="1"/>
    <x v="1"/>
    <x v="4"/>
    <x v="186"/>
    <x v="25"/>
  </r>
  <r>
    <x v="9"/>
    <x v="4"/>
    <x v="3"/>
    <x v="2"/>
    <x v="187"/>
    <x v="19"/>
  </r>
  <r>
    <x v="8"/>
    <x v="1"/>
    <x v="3"/>
    <x v="1"/>
    <x v="188"/>
    <x v="1"/>
  </r>
  <r>
    <x v="10"/>
    <x v="3"/>
    <x v="0"/>
    <x v="0"/>
    <x v="189"/>
    <x v="12"/>
  </r>
  <r>
    <x v="10"/>
    <x v="3"/>
    <x v="0"/>
    <x v="1"/>
    <x v="189"/>
    <x v="68"/>
  </r>
  <r>
    <x v="3"/>
    <x v="4"/>
    <x v="1"/>
    <x v="4"/>
    <x v="190"/>
    <x v="20"/>
  </r>
  <r>
    <x v="8"/>
    <x v="0"/>
    <x v="3"/>
    <x v="4"/>
    <x v="190"/>
    <x v="8"/>
  </r>
  <r>
    <x v="2"/>
    <x v="2"/>
    <x v="2"/>
    <x v="0"/>
    <x v="191"/>
    <x v="27"/>
  </r>
  <r>
    <x v="2"/>
    <x v="3"/>
    <x v="2"/>
    <x v="1"/>
    <x v="191"/>
    <x v="12"/>
  </r>
  <r>
    <x v="8"/>
    <x v="2"/>
    <x v="3"/>
    <x v="2"/>
    <x v="192"/>
    <x v="54"/>
  </r>
  <r>
    <x v="3"/>
    <x v="0"/>
    <x v="1"/>
    <x v="0"/>
    <x v="192"/>
    <x v="51"/>
  </r>
  <r>
    <x v="9"/>
    <x v="3"/>
    <x v="3"/>
    <x v="0"/>
    <x v="192"/>
    <x v="12"/>
  </r>
  <r>
    <x v="7"/>
    <x v="2"/>
    <x v="0"/>
    <x v="0"/>
    <x v="192"/>
    <x v="6"/>
  </r>
  <r>
    <x v="9"/>
    <x v="3"/>
    <x v="3"/>
    <x v="3"/>
    <x v="192"/>
    <x v="69"/>
  </r>
  <r>
    <x v="2"/>
    <x v="1"/>
    <x v="2"/>
    <x v="1"/>
    <x v="192"/>
    <x v="1"/>
  </r>
  <r>
    <x v="0"/>
    <x v="0"/>
    <x v="0"/>
    <x v="4"/>
    <x v="192"/>
    <x v="11"/>
  </r>
  <r>
    <x v="10"/>
    <x v="4"/>
    <x v="0"/>
    <x v="1"/>
    <x v="193"/>
    <x v="60"/>
  </r>
  <r>
    <x v="5"/>
    <x v="3"/>
    <x v="0"/>
    <x v="0"/>
    <x v="194"/>
    <x v="47"/>
  </r>
  <r>
    <x v="10"/>
    <x v="2"/>
    <x v="0"/>
    <x v="2"/>
    <x v="195"/>
    <x v="35"/>
  </r>
  <r>
    <x v="6"/>
    <x v="2"/>
    <x v="3"/>
    <x v="0"/>
    <x v="195"/>
    <x v="54"/>
  </r>
  <r>
    <x v="2"/>
    <x v="0"/>
    <x v="2"/>
    <x v="1"/>
    <x v="195"/>
    <x v="0"/>
  </r>
  <r>
    <x v="5"/>
    <x v="3"/>
    <x v="0"/>
    <x v="1"/>
    <x v="195"/>
    <x v="63"/>
  </r>
  <r>
    <x v="4"/>
    <x v="0"/>
    <x v="3"/>
    <x v="1"/>
    <x v="195"/>
    <x v="61"/>
  </r>
  <r>
    <x v="9"/>
    <x v="2"/>
    <x v="3"/>
    <x v="4"/>
    <x v="195"/>
    <x v="6"/>
  </r>
  <r>
    <x v="4"/>
    <x v="1"/>
    <x v="3"/>
    <x v="4"/>
    <x v="195"/>
    <x v="30"/>
  </r>
  <r>
    <x v="0"/>
    <x v="3"/>
    <x v="0"/>
    <x v="2"/>
    <x v="196"/>
    <x v="44"/>
  </r>
  <r>
    <x v="2"/>
    <x v="4"/>
    <x v="2"/>
    <x v="3"/>
    <x v="196"/>
    <x v="21"/>
  </r>
  <r>
    <x v="7"/>
    <x v="1"/>
    <x v="0"/>
    <x v="1"/>
    <x v="196"/>
    <x v="13"/>
  </r>
  <r>
    <x v="0"/>
    <x v="0"/>
    <x v="0"/>
    <x v="0"/>
    <x v="197"/>
    <x v="18"/>
  </r>
  <r>
    <x v="7"/>
    <x v="2"/>
    <x v="0"/>
    <x v="1"/>
    <x v="197"/>
    <x v="14"/>
  </r>
  <r>
    <x v="8"/>
    <x v="0"/>
    <x v="3"/>
    <x v="4"/>
    <x v="197"/>
    <x v="25"/>
  </r>
  <r>
    <x v="7"/>
    <x v="3"/>
    <x v="0"/>
    <x v="4"/>
    <x v="197"/>
    <x v="3"/>
  </r>
  <r>
    <x v="0"/>
    <x v="1"/>
    <x v="0"/>
    <x v="4"/>
    <x v="197"/>
    <x v="18"/>
  </r>
  <r>
    <x v="9"/>
    <x v="1"/>
    <x v="3"/>
    <x v="0"/>
    <x v="198"/>
    <x v="16"/>
  </r>
  <r>
    <x v="7"/>
    <x v="1"/>
    <x v="0"/>
    <x v="0"/>
    <x v="198"/>
    <x v="70"/>
  </r>
  <r>
    <x v="7"/>
    <x v="2"/>
    <x v="0"/>
    <x v="3"/>
    <x v="198"/>
    <x v="71"/>
  </r>
  <r>
    <x v="9"/>
    <x v="1"/>
    <x v="3"/>
    <x v="4"/>
    <x v="198"/>
    <x v="25"/>
  </r>
  <r>
    <x v="7"/>
    <x v="4"/>
    <x v="0"/>
    <x v="0"/>
    <x v="199"/>
    <x v="40"/>
  </r>
  <r>
    <x v="0"/>
    <x v="1"/>
    <x v="0"/>
    <x v="0"/>
    <x v="199"/>
    <x v="18"/>
  </r>
  <r>
    <x v="11"/>
    <x v="4"/>
    <x v="2"/>
    <x v="4"/>
    <x v="199"/>
    <x v="7"/>
  </r>
  <r>
    <x v="2"/>
    <x v="3"/>
    <x v="2"/>
    <x v="2"/>
    <x v="200"/>
    <x v="68"/>
  </r>
  <r>
    <x v="0"/>
    <x v="4"/>
    <x v="0"/>
    <x v="3"/>
    <x v="200"/>
    <x v="40"/>
  </r>
  <r>
    <x v="2"/>
    <x v="0"/>
    <x v="2"/>
    <x v="0"/>
    <x v="201"/>
    <x v="16"/>
  </r>
  <r>
    <x v="0"/>
    <x v="1"/>
    <x v="0"/>
    <x v="3"/>
    <x v="201"/>
    <x v="0"/>
  </r>
  <r>
    <x v="11"/>
    <x v="2"/>
    <x v="2"/>
    <x v="4"/>
    <x v="201"/>
    <x v="22"/>
  </r>
  <r>
    <x v="0"/>
    <x v="3"/>
    <x v="0"/>
    <x v="2"/>
    <x v="202"/>
    <x v="3"/>
  </r>
  <r>
    <x v="10"/>
    <x v="0"/>
    <x v="2"/>
    <x v="0"/>
    <x v="202"/>
    <x v="26"/>
  </r>
  <r>
    <x v="0"/>
    <x v="1"/>
    <x v="0"/>
    <x v="1"/>
    <x v="202"/>
    <x v="24"/>
  </r>
  <r>
    <x v="11"/>
    <x v="3"/>
    <x v="2"/>
    <x v="3"/>
    <x v="203"/>
    <x v="53"/>
  </r>
  <r>
    <x v="5"/>
    <x v="1"/>
    <x v="0"/>
    <x v="1"/>
    <x v="204"/>
    <x v="16"/>
  </r>
  <r>
    <x v="11"/>
    <x v="3"/>
    <x v="2"/>
    <x v="2"/>
    <x v="205"/>
    <x v="57"/>
  </r>
  <r>
    <x v="2"/>
    <x v="1"/>
    <x v="2"/>
    <x v="0"/>
    <x v="205"/>
    <x v="9"/>
  </r>
  <r>
    <x v="6"/>
    <x v="4"/>
    <x v="3"/>
    <x v="0"/>
    <x v="206"/>
    <x v="72"/>
  </r>
  <r>
    <x v="5"/>
    <x v="1"/>
    <x v="0"/>
    <x v="1"/>
    <x v="206"/>
    <x v="25"/>
  </r>
  <r>
    <x v="7"/>
    <x v="1"/>
    <x v="0"/>
    <x v="4"/>
    <x v="207"/>
    <x v="9"/>
  </r>
  <r>
    <x v="8"/>
    <x v="2"/>
    <x v="3"/>
    <x v="2"/>
    <x v="208"/>
    <x v="56"/>
  </r>
  <r>
    <x v="5"/>
    <x v="2"/>
    <x v="0"/>
    <x v="0"/>
    <x v="209"/>
    <x v="54"/>
  </r>
  <r>
    <x v="5"/>
    <x v="3"/>
    <x v="0"/>
    <x v="1"/>
    <x v="210"/>
    <x v="47"/>
  </r>
  <r>
    <x v="8"/>
    <x v="2"/>
    <x v="3"/>
    <x v="4"/>
    <x v="210"/>
    <x v="6"/>
  </r>
  <r>
    <x v="2"/>
    <x v="3"/>
    <x v="2"/>
    <x v="4"/>
    <x v="211"/>
    <x v="63"/>
  </r>
  <r>
    <x v="4"/>
    <x v="2"/>
    <x v="3"/>
    <x v="4"/>
    <x v="211"/>
    <x v="2"/>
  </r>
  <r>
    <x v="4"/>
    <x v="2"/>
    <x v="3"/>
    <x v="2"/>
    <x v="212"/>
    <x v="52"/>
  </r>
  <r>
    <x v="11"/>
    <x v="3"/>
    <x v="2"/>
    <x v="3"/>
    <x v="212"/>
    <x v="69"/>
  </r>
  <r>
    <x v="9"/>
    <x v="0"/>
    <x v="3"/>
    <x v="1"/>
    <x v="212"/>
    <x v="29"/>
  </r>
  <r>
    <x v="0"/>
    <x v="4"/>
    <x v="0"/>
    <x v="2"/>
    <x v="213"/>
    <x v="20"/>
  </r>
  <r>
    <x v="3"/>
    <x v="4"/>
    <x v="1"/>
    <x v="0"/>
    <x v="214"/>
    <x v="5"/>
  </r>
  <r>
    <x v="7"/>
    <x v="0"/>
    <x v="0"/>
    <x v="2"/>
    <x v="215"/>
    <x v="0"/>
  </r>
  <r>
    <x v="9"/>
    <x v="1"/>
    <x v="3"/>
    <x v="0"/>
    <x v="215"/>
    <x v="9"/>
  </r>
  <r>
    <x v="5"/>
    <x v="0"/>
    <x v="0"/>
    <x v="3"/>
    <x v="215"/>
    <x v="1"/>
  </r>
  <r>
    <x v="11"/>
    <x v="2"/>
    <x v="2"/>
    <x v="3"/>
    <x v="216"/>
    <x v="71"/>
  </r>
  <r>
    <x v="11"/>
    <x v="4"/>
    <x v="2"/>
    <x v="4"/>
    <x v="217"/>
    <x v="40"/>
  </r>
  <r>
    <x v="7"/>
    <x v="1"/>
    <x v="0"/>
    <x v="3"/>
    <x v="218"/>
    <x v="23"/>
  </r>
  <r>
    <x v="0"/>
    <x v="3"/>
    <x v="0"/>
    <x v="3"/>
    <x v="218"/>
    <x v="12"/>
  </r>
  <r>
    <x v="2"/>
    <x v="4"/>
    <x v="2"/>
    <x v="0"/>
    <x v="219"/>
    <x v="32"/>
  </r>
  <r>
    <x v="7"/>
    <x v="2"/>
    <x v="0"/>
    <x v="0"/>
    <x v="219"/>
    <x v="73"/>
  </r>
  <r>
    <x v="5"/>
    <x v="4"/>
    <x v="0"/>
    <x v="1"/>
    <x v="220"/>
    <x v="15"/>
  </r>
  <r>
    <x v="10"/>
    <x v="3"/>
    <x v="0"/>
    <x v="2"/>
    <x v="221"/>
    <x v="57"/>
  </r>
  <r>
    <x v="4"/>
    <x v="3"/>
    <x v="3"/>
    <x v="0"/>
    <x v="221"/>
    <x v="74"/>
  </r>
  <r>
    <x v="10"/>
    <x v="2"/>
    <x v="0"/>
    <x v="3"/>
    <x v="221"/>
    <x v="56"/>
  </r>
  <r>
    <x v="6"/>
    <x v="4"/>
    <x v="3"/>
    <x v="0"/>
    <x v="222"/>
    <x v="75"/>
  </r>
  <r>
    <x v="10"/>
    <x v="3"/>
    <x v="0"/>
    <x v="3"/>
    <x v="222"/>
    <x v="50"/>
  </r>
  <r>
    <x v="1"/>
    <x v="2"/>
    <x v="1"/>
    <x v="3"/>
    <x v="222"/>
    <x v="49"/>
  </r>
  <r>
    <x v="4"/>
    <x v="1"/>
    <x v="3"/>
    <x v="2"/>
    <x v="223"/>
    <x v="30"/>
  </r>
  <r>
    <x v="2"/>
    <x v="1"/>
    <x v="2"/>
    <x v="0"/>
    <x v="223"/>
    <x v="51"/>
  </r>
  <r>
    <x v="0"/>
    <x v="0"/>
    <x v="0"/>
    <x v="3"/>
    <x v="223"/>
    <x v="30"/>
  </r>
  <r>
    <x v="0"/>
    <x v="3"/>
    <x v="0"/>
    <x v="0"/>
    <x v="224"/>
    <x v="67"/>
  </r>
  <r>
    <x v="5"/>
    <x v="1"/>
    <x v="0"/>
    <x v="3"/>
    <x v="224"/>
    <x v="18"/>
  </r>
  <r>
    <x v="1"/>
    <x v="1"/>
    <x v="1"/>
    <x v="1"/>
    <x v="224"/>
    <x v="0"/>
  </r>
  <r>
    <x v="3"/>
    <x v="1"/>
    <x v="1"/>
    <x v="2"/>
    <x v="225"/>
    <x v="24"/>
  </r>
  <r>
    <x v="10"/>
    <x v="3"/>
    <x v="0"/>
    <x v="0"/>
    <x v="225"/>
    <x v="57"/>
  </r>
  <r>
    <x v="0"/>
    <x v="2"/>
    <x v="0"/>
    <x v="0"/>
    <x v="225"/>
    <x v="17"/>
  </r>
  <r>
    <x v="9"/>
    <x v="1"/>
    <x v="3"/>
    <x v="3"/>
    <x v="225"/>
    <x v="8"/>
  </r>
  <r>
    <x v="8"/>
    <x v="2"/>
    <x v="3"/>
    <x v="1"/>
    <x v="225"/>
    <x v="49"/>
  </r>
  <r>
    <x v="9"/>
    <x v="2"/>
    <x v="3"/>
    <x v="4"/>
    <x v="225"/>
    <x v="22"/>
  </r>
  <r>
    <x v="6"/>
    <x v="3"/>
    <x v="3"/>
    <x v="4"/>
    <x v="225"/>
    <x v="3"/>
  </r>
  <r>
    <x v="0"/>
    <x v="2"/>
    <x v="0"/>
    <x v="0"/>
    <x v="226"/>
    <x v="27"/>
  </r>
  <r>
    <x v="7"/>
    <x v="3"/>
    <x v="0"/>
    <x v="1"/>
    <x v="226"/>
    <x v="44"/>
  </r>
  <r>
    <x v="1"/>
    <x v="2"/>
    <x v="1"/>
    <x v="1"/>
    <x v="226"/>
    <x v="14"/>
  </r>
  <r>
    <x v="4"/>
    <x v="3"/>
    <x v="3"/>
    <x v="1"/>
    <x v="226"/>
    <x v="47"/>
  </r>
  <r>
    <x v="8"/>
    <x v="0"/>
    <x v="3"/>
    <x v="4"/>
    <x v="226"/>
    <x v="18"/>
  </r>
  <r>
    <x v="1"/>
    <x v="1"/>
    <x v="1"/>
    <x v="0"/>
    <x v="227"/>
    <x v="24"/>
  </r>
  <r>
    <x v="10"/>
    <x v="0"/>
    <x v="2"/>
    <x v="3"/>
    <x v="227"/>
    <x v="11"/>
  </r>
  <r>
    <x v="5"/>
    <x v="1"/>
    <x v="0"/>
    <x v="2"/>
    <x v="228"/>
    <x v="1"/>
  </r>
  <r>
    <x v="1"/>
    <x v="3"/>
    <x v="1"/>
    <x v="3"/>
    <x v="228"/>
    <x v="47"/>
  </r>
  <r>
    <x v="1"/>
    <x v="2"/>
    <x v="1"/>
    <x v="4"/>
    <x v="228"/>
    <x v="49"/>
  </r>
  <r>
    <x v="4"/>
    <x v="4"/>
    <x v="3"/>
    <x v="0"/>
    <x v="229"/>
    <x v="41"/>
  </r>
  <r>
    <x v="0"/>
    <x v="3"/>
    <x v="0"/>
    <x v="0"/>
    <x v="229"/>
    <x v="67"/>
  </r>
  <r>
    <x v="5"/>
    <x v="3"/>
    <x v="0"/>
    <x v="1"/>
    <x v="229"/>
    <x v="44"/>
  </r>
  <r>
    <x v="8"/>
    <x v="1"/>
    <x v="3"/>
    <x v="2"/>
    <x v="230"/>
    <x v="23"/>
  </r>
  <r>
    <x v="7"/>
    <x v="1"/>
    <x v="0"/>
    <x v="2"/>
    <x v="230"/>
    <x v="29"/>
  </r>
  <r>
    <x v="10"/>
    <x v="0"/>
    <x v="2"/>
    <x v="3"/>
    <x v="230"/>
    <x v="13"/>
  </r>
  <r>
    <x v="3"/>
    <x v="4"/>
    <x v="1"/>
    <x v="2"/>
    <x v="231"/>
    <x v="20"/>
  </r>
  <r>
    <x v="2"/>
    <x v="4"/>
    <x v="2"/>
    <x v="2"/>
    <x v="231"/>
    <x v="46"/>
  </r>
  <r>
    <x v="9"/>
    <x v="2"/>
    <x v="3"/>
    <x v="0"/>
    <x v="231"/>
    <x v="76"/>
  </r>
  <r>
    <x v="5"/>
    <x v="3"/>
    <x v="0"/>
    <x v="0"/>
    <x v="231"/>
    <x v="77"/>
  </r>
  <r>
    <x v="3"/>
    <x v="3"/>
    <x v="1"/>
    <x v="3"/>
    <x v="231"/>
    <x v="58"/>
  </r>
  <r>
    <x v="10"/>
    <x v="4"/>
    <x v="0"/>
    <x v="4"/>
    <x v="231"/>
    <x v="65"/>
  </r>
  <r>
    <x v="10"/>
    <x v="1"/>
    <x v="0"/>
    <x v="4"/>
    <x v="231"/>
    <x v="23"/>
  </r>
  <r>
    <x v="1"/>
    <x v="3"/>
    <x v="1"/>
    <x v="0"/>
    <x v="232"/>
    <x v="58"/>
  </r>
  <r>
    <x v="2"/>
    <x v="3"/>
    <x v="2"/>
    <x v="4"/>
    <x v="232"/>
    <x v="12"/>
  </r>
  <r>
    <x v="8"/>
    <x v="4"/>
    <x v="3"/>
    <x v="4"/>
    <x v="232"/>
    <x v="20"/>
  </r>
  <r>
    <x v="7"/>
    <x v="3"/>
    <x v="0"/>
    <x v="4"/>
    <x v="233"/>
    <x v="69"/>
  </r>
  <r>
    <x v="3"/>
    <x v="3"/>
    <x v="1"/>
    <x v="2"/>
    <x v="234"/>
    <x v="47"/>
  </r>
  <r>
    <x v="2"/>
    <x v="2"/>
    <x v="2"/>
    <x v="2"/>
    <x v="234"/>
    <x v="4"/>
  </r>
  <r>
    <x v="3"/>
    <x v="3"/>
    <x v="1"/>
    <x v="0"/>
    <x v="234"/>
    <x v="34"/>
  </r>
  <r>
    <x v="9"/>
    <x v="1"/>
    <x v="3"/>
    <x v="4"/>
    <x v="234"/>
    <x v="29"/>
  </r>
  <r>
    <x v="11"/>
    <x v="1"/>
    <x v="2"/>
    <x v="4"/>
    <x v="234"/>
    <x v="25"/>
  </r>
  <r>
    <x v="2"/>
    <x v="4"/>
    <x v="2"/>
    <x v="0"/>
    <x v="235"/>
    <x v="15"/>
  </r>
  <r>
    <x v="1"/>
    <x v="0"/>
    <x v="1"/>
    <x v="4"/>
    <x v="235"/>
    <x v="9"/>
  </r>
  <r>
    <x v="10"/>
    <x v="3"/>
    <x v="0"/>
    <x v="2"/>
    <x v="236"/>
    <x v="47"/>
  </r>
  <r>
    <x v="0"/>
    <x v="0"/>
    <x v="0"/>
    <x v="1"/>
    <x v="236"/>
    <x v="24"/>
  </r>
  <r>
    <x v="7"/>
    <x v="0"/>
    <x v="0"/>
    <x v="4"/>
    <x v="236"/>
    <x v="1"/>
  </r>
  <r>
    <x v="7"/>
    <x v="2"/>
    <x v="0"/>
    <x v="2"/>
    <x v="237"/>
    <x v="66"/>
  </r>
  <r>
    <x v="6"/>
    <x v="2"/>
    <x v="3"/>
    <x v="0"/>
    <x v="237"/>
    <x v="35"/>
  </r>
  <r>
    <x v="1"/>
    <x v="1"/>
    <x v="1"/>
    <x v="3"/>
    <x v="237"/>
    <x v="61"/>
  </r>
  <r>
    <x v="0"/>
    <x v="4"/>
    <x v="0"/>
    <x v="2"/>
    <x v="238"/>
    <x v="60"/>
  </r>
  <r>
    <x v="5"/>
    <x v="2"/>
    <x v="0"/>
    <x v="1"/>
    <x v="238"/>
    <x v="28"/>
  </r>
  <r>
    <x v="0"/>
    <x v="0"/>
    <x v="0"/>
    <x v="4"/>
    <x v="238"/>
    <x v="18"/>
  </r>
  <r>
    <x v="11"/>
    <x v="4"/>
    <x v="2"/>
    <x v="1"/>
    <x v="239"/>
    <x v="19"/>
  </r>
  <r>
    <x v="6"/>
    <x v="4"/>
    <x v="3"/>
    <x v="0"/>
    <x v="240"/>
    <x v="65"/>
  </r>
  <r>
    <x v="2"/>
    <x v="1"/>
    <x v="2"/>
    <x v="3"/>
    <x v="240"/>
    <x v="23"/>
  </r>
  <r>
    <x v="11"/>
    <x v="2"/>
    <x v="2"/>
    <x v="4"/>
    <x v="241"/>
    <x v="6"/>
  </r>
  <r>
    <x v="2"/>
    <x v="3"/>
    <x v="2"/>
    <x v="3"/>
    <x v="242"/>
    <x v="12"/>
  </r>
  <r>
    <x v="10"/>
    <x v="4"/>
    <x v="0"/>
    <x v="2"/>
    <x v="243"/>
    <x v="7"/>
  </r>
  <r>
    <x v="3"/>
    <x v="0"/>
    <x v="1"/>
    <x v="3"/>
    <x v="243"/>
    <x v="25"/>
  </r>
  <r>
    <x v="9"/>
    <x v="4"/>
    <x v="3"/>
    <x v="1"/>
    <x v="243"/>
    <x v="32"/>
  </r>
  <r>
    <x v="9"/>
    <x v="1"/>
    <x v="3"/>
    <x v="0"/>
    <x v="244"/>
    <x v="26"/>
  </r>
  <r>
    <x v="0"/>
    <x v="1"/>
    <x v="0"/>
    <x v="3"/>
    <x v="244"/>
    <x v="18"/>
  </r>
  <r>
    <x v="1"/>
    <x v="3"/>
    <x v="1"/>
    <x v="2"/>
    <x v="245"/>
    <x v="57"/>
  </r>
  <r>
    <x v="11"/>
    <x v="2"/>
    <x v="2"/>
    <x v="1"/>
    <x v="245"/>
    <x v="66"/>
  </r>
  <r>
    <x v="4"/>
    <x v="4"/>
    <x v="3"/>
    <x v="4"/>
    <x v="246"/>
    <x v="65"/>
  </r>
  <r>
    <x v="5"/>
    <x v="3"/>
    <x v="0"/>
    <x v="2"/>
    <x v="247"/>
    <x v="44"/>
  </r>
  <r>
    <x v="1"/>
    <x v="1"/>
    <x v="1"/>
    <x v="2"/>
    <x v="247"/>
    <x v="25"/>
  </r>
  <r>
    <x v="0"/>
    <x v="3"/>
    <x v="0"/>
    <x v="0"/>
    <x v="248"/>
    <x v="34"/>
  </r>
  <r>
    <x v="8"/>
    <x v="2"/>
    <x v="3"/>
    <x v="3"/>
    <x v="248"/>
    <x v="35"/>
  </r>
  <r>
    <x v="11"/>
    <x v="2"/>
    <x v="2"/>
    <x v="3"/>
    <x v="248"/>
    <x v="49"/>
  </r>
  <r>
    <x v="4"/>
    <x v="3"/>
    <x v="3"/>
    <x v="3"/>
    <x v="248"/>
    <x v="34"/>
  </r>
  <r>
    <x v="4"/>
    <x v="0"/>
    <x v="3"/>
    <x v="0"/>
    <x v="249"/>
    <x v="9"/>
  </r>
  <r>
    <x v="2"/>
    <x v="0"/>
    <x v="2"/>
    <x v="0"/>
    <x v="250"/>
    <x v="24"/>
  </r>
  <r>
    <x v="2"/>
    <x v="0"/>
    <x v="2"/>
    <x v="4"/>
    <x v="250"/>
    <x v="0"/>
  </r>
  <r>
    <x v="0"/>
    <x v="3"/>
    <x v="0"/>
    <x v="4"/>
    <x v="250"/>
    <x v="58"/>
  </r>
  <r>
    <x v="3"/>
    <x v="0"/>
    <x v="1"/>
    <x v="1"/>
    <x v="251"/>
    <x v="16"/>
  </r>
  <r>
    <x v="11"/>
    <x v="2"/>
    <x v="2"/>
    <x v="1"/>
    <x v="251"/>
    <x v="56"/>
  </r>
  <r>
    <x v="10"/>
    <x v="4"/>
    <x v="0"/>
    <x v="3"/>
    <x v="252"/>
    <x v="15"/>
  </r>
  <r>
    <x v="5"/>
    <x v="2"/>
    <x v="0"/>
    <x v="3"/>
    <x v="252"/>
    <x v="49"/>
  </r>
  <r>
    <x v="6"/>
    <x v="3"/>
    <x v="3"/>
    <x v="2"/>
    <x v="253"/>
    <x v="53"/>
  </r>
  <r>
    <x v="4"/>
    <x v="0"/>
    <x v="3"/>
    <x v="0"/>
    <x v="253"/>
    <x v="23"/>
  </r>
  <r>
    <x v="8"/>
    <x v="0"/>
    <x v="3"/>
    <x v="3"/>
    <x v="253"/>
    <x v="13"/>
  </r>
  <r>
    <x v="6"/>
    <x v="4"/>
    <x v="3"/>
    <x v="3"/>
    <x v="253"/>
    <x v="32"/>
  </r>
  <r>
    <x v="9"/>
    <x v="3"/>
    <x v="3"/>
    <x v="4"/>
    <x v="253"/>
    <x v="64"/>
  </r>
  <r>
    <x v="5"/>
    <x v="3"/>
    <x v="0"/>
    <x v="0"/>
    <x v="254"/>
    <x v="53"/>
  </r>
  <r>
    <x v="4"/>
    <x v="1"/>
    <x v="3"/>
    <x v="3"/>
    <x v="255"/>
    <x v="1"/>
  </r>
  <r>
    <x v="2"/>
    <x v="1"/>
    <x v="2"/>
    <x v="4"/>
    <x v="255"/>
    <x v="25"/>
  </r>
  <r>
    <x v="4"/>
    <x v="1"/>
    <x v="3"/>
    <x v="2"/>
    <x v="256"/>
    <x v="13"/>
  </r>
  <r>
    <x v="1"/>
    <x v="4"/>
    <x v="1"/>
    <x v="1"/>
    <x v="257"/>
    <x v="31"/>
  </r>
  <r>
    <x v="2"/>
    <x v="1"/>
    <x v="2"/>
    <x v="2"/>
    <x v="258"/>
    <x v="8"/>
  </r>
  <r>
    <x v="11"/>
    <x v="2"/>
    <x v="2"/>
    <x v="2"/>
    <x v="258"/>
    <x v="56"/>
  </r>
  <r>
    <x v="5"/>
    <x v="0"/>
    <x v="0"/>
    <x v="0"/>
    <x v="258"/>
    <x v="70"/>
  </r>
  <r>
    <x v="8"/>
    <x v="4"/>
    <x v="3"/>
    <x v="4"/>
    <x v="258"/>
    <x v="5"/>
  </r>
  <r>
    <x v="0"/>
    <x v="0"/>
    <x v="0"/>
    <x v="2"/>
    <x v="259"/>
    <x v="23"/>
  </r>
  <r>
    <x v="6"/>
    <x v="0"/>
    <x v="3"/>
    <x v="3"/>
    <x v="260"/>
    <x v="8"/>
  </r>
  <r>
    <x v="11"/>
    <x v="0"/>
    <x v="2"/>
    <x v="4"/>
    <x v="260"/>
    <x v="30"/>
  </r>
  <r>
    <x v="5"/>
    <x v="2"/>
    <x v="0"/>
    <x v="3"/>
    <x v="261"/>
    <x v="52"/>
  </r>
  <r>
    <x v="10"/>
    <x v="3"/>
    <x v="0"/>
    <x v="4"/>
    <x v="261"/>
    <x v="33"/>
  </r>
  <r>
    <x v="5"/>
    <x v="1"/>
    <x v="0"/>
    <x v="1"/>
    <x v="262"/>
    <x v="23"/>
  </r>
  <r>
    <x v="0"/>
    <x v="1"/>
    <x v="0"/>
    <x v="1"/>
    <x v="262"/>
    <x v="23"/>
  </r>
  <r>
    <x v="8"/>
    <x v="1"/>
    <x v="3"/>
    <x v="4"/>
    <x v="263"/>
    <x v="24"/>
  </r>
  <r>
    <x v="9"/>
    <x v="4"/>
    <x v="3"/>
    <x v="4"/>
    <x v="264"/>
    <x v="5"/>
  </r>
  <r>
    <x v="8"/>
    <x v="3"/>
    <x v="3"/>
    <x v="0"/>
    <x v="265"/>
    <x v="33"/>
  </r>
  <r>
    <x v="11"/>
    <x v="0"/>
    <x v="2"/>
    <x v="3"/>
    <x v="266"/>
    <x v="1"/>
  </r>
  <r>
    <x v="11"/>
    <x v="2"/>
    <x v="2"/>
    <x v="3"/>
    <x v="266"/>
    <x v="66"/>
  </r>
  <r>
    <x v="6"/>
    <x v="1"/>
    <x v="3"/>
    <x v="1"/>
    <x v="266"/>
    <x v="24"/>
  </r>
  <r>
    <x v="6"/>
    <x v="0"/>
    <x v="3"/>
    <x v="2"/>
    <x v="267"/>
    <x v="9"/>
  </r>
  <r>
    <x v="8"/>
    <x v="4"/>
    <x v="3"/>
    <x v="0"/>
    <x v="267"/>
    <x v="38"/>
  </r>
  <r>
    <x v="5"/>
    <x v="1"/>
    <x v="0"/>
    <x v="3"/>
    <x v="267"/>
    <x v="23"/>
  </r>
  <r>
    <x v="10"/>
    <x v="4"/>
    <x v="0"/>
    <x v="0"/>
    <x v="268"/>
    <x v="46"/>
  </r>
  <r>
    <x v="1"/>
    <x v="0"/>
    <x v="1"/>
    <x v="4"/>
    <x v="268"/>
    <x v="11"/>
  </r>
  <r>
    <x v="8"/>
    <x v="1"/>
    <x v="3"/>
    <x v="1"/>
    <x v="269"/>
    <x v="11"/>
  </r>
  <r>
    <x v="11"/>
    <x v="1"/>
    <x v="2"/>
    <x v="4"/>
    <x v="269"/>
    <x v="18"/>
  </r>
  <r>
    <x v="6"/>
    <x v="2"/>
    <x v="3"/>
    <x v="0"/>
    <x v="270"/>
    <x v="78"/>
  </r>
  <r>
    <x v="4"/>
    <x v="2"/>
    <x v="3"/>
    <x v="1"/>
    <x v="270"/>
    <x v="27"/>
  </r>
  <r>
    <x v="8"/>
    <x v="2"/>
    <x v="3"/>
    <x v="2"/>
    <x v="271"/>
    <x v="49"/>
  </r>
  <r>
    <x v="9"/>
    <x v="4"/>
    <x v="3"/>
    <x v="4"/>
    <x v="272"/>
    <x v="19"/>
  </r>
  <r>
    <x v="9"/>
    <x v="0"/>
    <x v="3"/>
    <x v="0"/>
    <x v="273"/>
    <x v="42"/>
  </r>
  <r>
    <x v="2"/>
    <x v="1"/>
    <x v="2"/>
    <x v="3"/>
    <x v="273"/>
    <x v="11"/>
  </r>
  <r>
    <x v="5"/>
    <x v="3"/>
    <x v="0"/>
    <x v="1"/>
    <x v="273"/>
    <x v="57"/>
  </r>
  <r>
    <x v="0"/>
    <x v="0"/>
    <x v="0"/>
    <x v="3"/>
    <x v="274"/>
    <x v="11"/>
  </r>
  <r>
    <x v="1"/>
    <x v="4"/>
    <x v="1"/>
    <x v="0"/>
    <x v="275"/>
    <x v="20"/>
  </r>
  <r>
    <x v="5"/>
    <x v="0"/>
    <x v="0"/>
    <x v="3"/>
    <x v="275"/>
    <x v="8"/>
  </r>
  <r>
    <x v="2"/>
    <x v="3"/>
    <x v="2"/>
    <x v="3"/>
    <x v="276"/>
    <x v="53"/>
  </r>
  <r>
    <x v="8"/>
    <x v="2"/>
    <x v="3"/>
    <x v="0"/>
    <x v="277"/>
    <x v="27"/>
  </r>
  <r>
    <x v="10"/>
    <x v="0"/>
    <x v="2"/>
    <x v="4"/>
    <x v="277"/>
    <x v="61"/>
  </r>
  <r>
    <x v="10"/>
    <x v="1"/>
    <x v="0"/>
    <x v="4"/>
    <x v="277"/>
    <x v="9"/>
  </r>
  <r>
    <x v="4"/>
    <x v="4"/>
    <x v="3"/>
    <x v="0"/>
    <x v="278"/>
    <x v="72"/>
  </r>
  <r>
    <x v="10"/>
    <x v="0"/>
    <x v="2"/>
    <x v="3"/>
    <x v="278"/>
    <x v="11"/>
  </r>
  <r>
    <x v="11"/>
    <x v="1"/>
    <x v="2"/>
    <x v="2"/>
    <x v="279"/>
    <x v="8"/>
  </r>
  <r>
    <x v="2"/>
    <x v="2"/>
    <x v="2"/>
    <x v="3"/>
    <x v="280"/>
    <x v="66"/>
  </r>
  <r>
    <x v="11"/>
    <x v="3"/>
    <x v="2"/>
    <x v="1"/>
    <x v="280"/>
    <x v="47"/>
  </r>
  <r>
    <x v="6"/>
    <x v="3"/>
    <x v="3"/>
    <x v="4"/>
    <x v="281"/>
    <x v="57"/>
  </r>
  <r>
    <x v="0"/>
    <x v="1"/>
    <x v="0"/>
    <x v="2"/>
    <x v="282"/>
    <x v="11"/>
  </r>
  <r>
    <x v="3"/>
    <x v="0"/>
    <x v="1"/>
    <x v="3"/>
    <x v="282"/>
    <x v="61"/>
  </r>
  <r>
    <x v="8"/>
    <x v="1"/>
    <x v="3"/>
    <x v="3"/>
    <x v="282"/>
    <x v="61"/>
  </r>
  <r>
    <x v="0"/>
    <x v="0"/>
    <x v="0"/>
    <x v="1"/>
    <x v="283"/>
    <x v="11"/>
  </r>
  <r>
    <x v="10"/>
    <x v="1"/>
    <x v="0"/>
    <x v="3"/>
    <x v="284"/>
    <x v="8"/>
  </r>
  <r>
    <x v="0"/>
    <x v="1"/>
    <x v="0"/>
    <x v="1"/>
    <x v="284"/>
    <x v="8"/>
  </r>
  <r>
    <x v="11"/>
    <x v="1"/>
    <x v="2"/>
    <x v="2"/>
    <x v="285"/>
    <x v="13"/>
  </r>
  <r>
    <x v="6"/>
    <x v="3"/>
    <x v="3"/>
    <x v="0"/>
    <x v="285"/>
    <x v="33"/>
  </r>
  <r>
    <x v="4"/>
    <x v="1"/>
    <x v="3"/>
    <x v="0"/>
    <x v="285"/>
    <x v="25"/>
  </r>
  <r>
    <x v="6"/>
    <x v="0"/>
    <x v="3"/>
    <x v="1"/>
    <x v="285"/>
    <x v="11"/>
  </r>
  <r>
    <x v="0"/>
    <x v="1"/>
    <x v="0"/>
    <x v="3"/>
    <x v="286"/>
    <x v="24"/>
  </r>
  <r>
    <x v="4"/>
    <x v="4"/>
    <x v="3"/>
    <x v="4"/>
    <x v="287"/>
    <x v="38"/>
  </r>
  <r>
    <x v="2"/>
    <x v="0"/>
    <x v="2"/>
    <x v="1"/>
    <x v="288"/>
    <x v="24"/>
  </r>
  <r>
    <x v="8"/>
    <x v="4"/>
    <x v="3"/>
    <x v="1"/>
    <x v="288"/>
    <x v="5"/>
  </r>
  <r>
    <x v="9"/>
    <x v="2"/>
    <x v="3"/>
    <x v="1"/>
    <x v="288"/>
    <x v="2"/>
  </r>
  <r>
    <x v="6"/>
    <x v="3"/>
    <x v="3"/>
    <x v="2"/>
    <x v="289"/>
    <x v="69"/>
  </r>
  <r>
    <x v="5"/>
    <x v="2"/>
    <x v="0"/>
    <x v="0"/>
    <x v="289"/>
    <x v="2"/>
  </r>
  <r>
    <x v="4"/>
    <x v="3"/>
    <x v="3"/>
    <x v="3"/>
    <x v="290"/>
    <x v="50"/>
  </r>
  <r>
    <x v="5"/>
    <x v="4"/>
    <x v="0"/>
    <x v="4"/>
    <x v="290"/>
    <x v="21"/>
  </r>
  <r>
    <x v="11"/>
    <x v="1"/>
    <x v="2"/>
    <x v="3"/>
    <x v="291"/>
    <x v="1"/>
  </r>
  <r>
    <x v="11"/>
    <x v="4"/>
    <x v="2"/>
    <x v="1"/>
    <x v="292"/>
    <x v="40"/>
  </r>
  <r>
    <x v="1"/>
    <x v="2"/>
    <x v="1"/>
    <x v="1"/>
    <x v="293"/>
    <x v="27"/>
  </r>
  <r>
    <x v="0"/>
    <x v="4"/>
    <x v="0"/>
    <x v="3"/>
    <x v="294"/>
    <x v="19"/>
  </r>
  <r>
    <x v="1"/>
    <x v="4"/>
    <x v="1"/>
    <x v="2"/>
    <x v="295"/>
    <x v="46"/>
  </r>
  <r>
    <x v="2"/>
    <x v="4"/>
    <x v="2"/>
    <x v="0"/>
    <x v="296"/>
    <x v="32"/>
  </r>
  <r>
    <x v="8"/>
    <x v="2"/>
    <x v="3"/>
    <x v="1"/>
    <x v="296"/>
    <x v="52"/>
  </r>
  <r>
    <x v="1"/>
    <x v="4"/>
    <x v="1"/>
    <x v="4"/>
    <x v="297"/>
    <x v="38"/>
  </r>
  <r>
    <x v="10"/>
    <x v="1"/>
    <x v="0"/>
    <x v="1"/>
    <x v="298"/>
    <x v="11"/>
  </r>
  <r>
    <x v="11"/>
    <x v="4"/>
    <x v="2"/>
    <x v="0"/>
    <x v="299"/>
    <x v="75"/>
  </r>
  <r>
    <x v="6"/>
    <x v="3"/>
    <x v="3"/>
    <x v="4"/>
    <x v="299"/>
    <x v="69"/>
  </r>
  <r>
    <x v="11"/>
    <x v="0"/>
    <x v="2"/>
    <x v="2"/>
    <x v="300"/>
    <x v="61"/>
  </r>
  <r>
    <x v="10"/>
    <x v="0"/>
    <x v="2"/>
    <x v="1"/>
    <x v="300"/>
    <x v="29"/>
  </r>
  <r>
    <x v="9"/>
    <x v="3"/>
    <x v="3"/>
    <x v="2"/>
    <x v="301"/>
    <x v="64"/>
  </r>
  <r>
    <x v="8"/>
    <x v="2"/>
    <x v="3"/>
    <x v="3"/>
    <x v="301"/>
    <x v="14"/>
  </r>
  <r>
    <x v="10"/>
    <x v="0"/>
    <x v="2"/>
    <x v="4"/>
    <x v="301"/>
    <x v="0"/>
  </r>
  <r>
    <x v="1"/>
    <x v="2"/>
    <x v="1"/>
    <x v="4"/>
    <x v="301"/>
    <x v="2"/>
  </r>
  <r>
    <x v="8"/>
    <x v="3"/>
    <x v="3"/>
    <x v="3"/>
    <x v="302"/>
    <x v="3"/>
  </r>
  <r>
    <x v="0"/>
    <x v="0"/>
    <x v="0"/>
    <x v="2"/>
    <x v="303"/>
    <x v="61"/>
  </r>
  <r>
    <x v="11"/>
    <x v="2"/>
    <x v="2"/>
    <x v="0"/>
    <x v="303"/>
    <x v="35"/>
  </r>
  <r>
    <x v="3"/>
    <x v="0"/>
    <x v="1"/>
    <x v="3"/>
    <x v="303"/>
    <x v="1"/>
  </r>
  <r>
    <x v="8"/>
    <x v="1"/>
    <x v="3"/>
    <x v="3"/>
    <x v="303"/>
    <x v="18"/>
  </r>
  <r>
    <x v="11"/>
    <x v="3"/>
    <x v="2"/>
    <x v="3"/>
    <x v="304"/>
    <x v="53"/>
  </r>
  <r>
    <x v="0"/>
    <x v="2"/>
    <x v="0"/>
    <x v="3"/>
    <x v="304"/>
    <x v="6"/>
  </r>
  <r>
    <x v="0"/>
    <x v="1"/>
    <x v="0"/>
    <x v="1"/>
    <x v="304"/>
    <x v="48"/>
  </r>
  <r>
    <x v="5"/>
    <x v="2"/>
    <x v="0"/>
    <x v="3"/>
    <x v="305"/>
    <x v="39"/>
  </r>
  <r>
    <x v="4"/>
    <x v="0"/>
    <x v="3"/>
    <x v="3"/>
    <x v="305"/>
    <x v="24"/>
  </r>
  <r>
    <x v="4"/>
    <x v="3"/>
    <x v="3"/>
    <x v="4"/>
    <x v="306"/>
    <x v="68"/>
  </r>
  <r>
    <x v="2"/>
    <x v="0"/>
    <x v="2"/>
    <x v="0"/>
    <x v="307"/>
    <x v="23"/>
  </r>
  <r>
    <x v="6"/>
    <x v="4"/>
    <x v="3"/>
    <x v="0"/>
    <x v="307"/>
    <x v="40"/>
  </r>
  <r>
    <x v="0"/>
    <x v="2"/>
    <x v="0"/>
    <x v="0"/>
    <x v="308"/>
    <x v="36"/>
  </r>
  <r>
    <x v="2"/>
    <x v="0"/>
    <x v="2"/>
    <x v="3"/>
    <x v="308"/>
    <x v="18"/>
  </r>
  <r>
    <x v="6"/>
    <x v="4"/>
    <x v="3"/>
    <x v="3"/>
    <x v="309"/>
    <x v="5"/>
  </r>
  <r>
    <x v="10"/>
    <x v="0"/>
    <x v="2"/>
    <x v="1"/>
    <x v="309"/>
    <x v="18"/>
  </r>
  <r>
    <x v="0"/>
    <x v="3"/>
    <x v="0"/>
    <x v="4"/>
    <x v="309"/>
    <x v="34"/>
  </r>
  <r>
    <x v="6"/>
    <x v="3"/>
    <x v="3"/>
    <x v="3"/>
    <x v="310"/>
    <x v="58"/>
  </r>
  <r>
    <x v="2"/>
    <x v="1"/>
    <x v="2"/>
    <x v="0"/>
    <x v="311"/>
    <x v="13"/>
  </r>
  <r>
    <x v="10"/>
    <x v="2"/>
    <x v="0"/>
    <x v="3"/>
    <x v="311"/>
    <x v="66"/>
  </r>
  <r>
    <x v="4"/>
    <x v="4"/>
    <x v="3"/>
    <x v="0"/>
    <x v="312"/>
    <x v="20"/>
  </r>
  <r>
    <x v="10"/>
    <x v="3"/>
    <x v="0"/>
    <x v="2"/>
    <x v="313"/>
    <x v="53"/>
  </r>
  <r>
    <x v="5"/>
    <x v="3"/>
    <x v="0"/>
    <x v="2"/>
    <x v="313"/>
    <x v="50"/>
  </r>
  <r>
    <x v="10"/>
    <x v="3"/>
    <x v="0"/>
    <x v="1"/>
    <x v="313"/>
    <x v="34"/>
  </r>
  <r>
    <x v="0"/>
    <x v="0"/>
    <x v="0"/>
    <x v="4"/>
    <x v="313"/>
    <x v="61"/>
  </r>
  <r>
    <x v="1"/>
    <x v="4"/>
    <x v="1"/>
    <x v="0"/>
    <x v="314"/>
    <x v="75"/>
  </r>
  <r>
    <x v="6"/>
    <x v="0"/>
    <x v="3"/>
    <x v="3"/>
    <x v="314"/>
    <x v="48"/>
  </r>
  <r>
    <x v="10"/>
    <x v="4"/>
    <x v="0"/>
    <x v="1"/>
    <x v="314"/>
    <x v="31"/>
  </r>
  <r>
    <x v="6"/>
    <x v="4"/>
    <x v="3"/>
    <x v="1"/>
    <x v="314"/>
    <x v="7"/>
  </r>
  <r>
    <x v="4"/>
    <x v="2"/>
    <x v="3"/>
    <x v="4"/>
    <x v="314"/>
    <x v="66"/>
  </r>
  <r>
    <x v="1"/>
    <x v="3"/>
    <x v="1"/>
    <x v="0"/>
    <x v="315"/>
    <x v="79"/>
  </r>
  <r>
    <x v="10"/>
    <x v="3"/>
    <x v="0"/>
    <x v="3"/>
    <x v="315"/>
    <x v="34"/>
  </r>
  <r>
    <x v="4"/>
    <x v="1"/>
    <x v="3"/>
    <x v="4"/>
    <x v="316"/>
    <x v="0"/>
  </r>
  <r>
    <x v="10"/>
    <x v="4"/>
    <x v="0"/>
    <x v="0"/>
    <x v="317"/>
    <x v="46"/>
  </r>
  <r>
    <x v="4"/>
    <x v="1"/>
    <x v="3"/>
    <x v="0"/>
    <x v="317"/>
    <x v="45"/>
  </r>
  <r>
    <x v="2"/>
    <x v="4"/>
    <x v="2"/>
    <x v="4"/>
    <x v="317"/>
    <x v="72"/>
  </r>
  <r>
    <x v="2"/>
    <x v="0"/>
    <x v="2"/>
    <x v="4"/>
    <x v="317"/>
    <x v="0"/>
  </r>
  <r>
    <x v="8"/>
    <x v="2"/>
    <x v="3"/>
    <x v="4"/>
    <x v="318"/>
    <x v="56"/>
  </r>
  <r>
    <x v="10"/>
    <x v="3"/>
    <x v="0"/>
    <x v="0"/>
    <x v="319"/>
    <x v="53"/>
  </r>
  <r>
    <x v="6"/>
    <x v="4"/>
    <x v="3"/>
    <x v="3"/>
    <x v="319"/>
    <x v="19"/>
  </r>
  <r>
    <x v="5"/>
    <x v="3"/>
    <x v="0"/>
    <x v="3"/>
    <x v="319"/>
    <x v="44"/>
  </r>
  <r>
    <x v="10"/>
    <x v="0"/>
    <x v="2"/>
    <x v="2"/>
    <x v="320"/>
    <x v="1"/>
  </r>
  <r>
    <x v="0"/>
    <x v="3"/>
    <x v="0"/>
    <x v="0"/>
    <x v="320"/>
    <x v="58"/>
  </r>
  <r>
    <x v="0"/>
    <x v="1"/>
    <x v="0"/>
    <x v="2"/>
    <x v="321"/>
    <x v="13"/>
  </r>
  <r>
    <x v="5"/>
    <x v="4"/>
    <x v="0"/>
    <x v="1"/>
    <x v="322"/>
    <x v="60"/>
  </r>
  <r>
    <x v="1"/>
    <x v="0"/>
    <x v="1"/>
    <x v="0"/>
    <x v="323"/>
    <x v="18"/>
  </r>
  <r>
    <x v="8"/>
    <x v="1"/>
    <x v="3"/>
    <x v="4"/>
    <x v="323"/>
    <x v="0"/>
  </r>
  <r>
    <x v="8"/>
    <x v="4"/>
    <x v="3"/>
    <x v="0"/>
    <x v="324"/>
    <x v="32"/>
  </r>
  <r>
    <x v="11"/>
    <x v="1"/>
    <x v="2"/>
    <x v="1"/>
    <x v="324"/>
    <x v="23"/>
  </r>
  <r>
    <x v="8"/>
    <x v="4"/>
    <x v="3"/>
    <x v="2"/>
    <x v="325"/>
    <x v="37"/>
  </r>
  <r>
    <x v="3"/>
    <x v="2"/>
    <x v="1"/>
    <x v="4"/>
    <x v="325"/>
    <x v="14"/>
  </r>
  <r>
    <x v="2"/>
    <x v="2"/>
    <x v="2"/>
    <x v="4"/>
    <x v="325"/>
    <x v="14"/>
  </r>
  <r>
    <x v="5"/>
    <x v="1"/>
    <x v="0"/>
    <x v="2"/>
    <x v="326"/>
    <x v="30"/>
  </r>
  <r>
    <x v="0"/>
    <x v="4"/>
    <x v="0"/>
    <x v="2"/>
    <x v="326"/>
    <x v="37"/>
  </r>
  <r>
    <x v="11"/>
    <x v="0"/>
    <x v="2"/>
    <x v="3"/>
    <x v="326"/>
    <x v="29"/>
  </r>
  <r>
    <x v="10"/>
    <x v="0"/>
    <x v="2"/>
    <x v="2"/>
    <x v="327"/>
    <x v="13"/>
  </r>
  <r>
    <x v="5"/>
    <x v="4"/>
    <x v="0"/>
    <x v="2"/>
    <x v="327"/>
    <x v="72"/>
  </r>
  <r>
    <x v="10"/>
    <x v="4"/>
    <x v="0"/>
    <x v="0"/>
    <x v="328"/>
    <x v="62"/>
  </r>
  <r>
    <x v="2"/>
    <x v="4"/>
    <x v="2"/>
    <x v="0"/>
    <x v="329"/>
    <x v="55"/>
  </r>
  <r>
    <x v="0"/>
    <x v="4"/>
    <x v="0"/>
    <x v="0"/>
    <x v="329"/>
    <x v="43"/>
  </r>
  <r>
    <x v="4"/>
    <x v="4"/>
    <x v="3"/>
    <x v="4"/>
    <x v="329"/>
    <x v="46"/>
  </r>
  <r>
    <x v="0"/>
    <x v="2"/>
    <x v="0"/>
    <x v="4"/>
    <x v="329"/>
    <x v="56"/>
  </r>
  <r>
    <x v="6"/>
    <x v="2"/>
    <x v="3"/>
    <x v="3"/>
    <x v="330"/>
    <x v="39"/>
  </r>
  <r>
    <x v="4"/>
    <x v="3"/>
    <x v="3"/>
    <x v="2"/>
    <x v="331"/>
    <x v="34"/>
  </r>
  <r>
    <x v="4"/>
    <x v="3"/>
    <x v="3"/>
    <x v="3"/>
    <x v="331"/>
    <x v="3"/>
  </r>
  <r>
    <x v="5"/>
    <x v="2"/>
    <x v="0"/>
    <x v="2"/>
    <x v="332"/>
    <x v="52"/>
  </r>
  <r>
    <x v="5"/>
    <x v="0"/>
    <x v="0"/>
    <x v="1"/>
    <x v="332"/>
    <x v="48"/>
  </r>
  <r>
    <x v="2"/>
    <x v="1"/>
    <x v="2"/>
    <x v="1"/>
    <x v="333"/>
    <x v="25"/>
  </r>
  <r>
    <x v="0"/>
    <x v="0"/>
    <x v="0"/>
    <x v="1"/>
    <x v="333"/>
    <x v="1"/>
  </r>
  <r>
    <x v="8"/>
    <x v="2"/>
    <x v="3"/>
    <x v="2"/>
    <x v="334"/>
    <x v="71"/>
  </r>
  <r>
    <x v="2"/>
    <x v="1"/>
    <x v="2"/>
    <x v="0"/>
    <x v="334"/>
    <x v="0"/>
  </r>
  <r>
    <x v="4"/>
    <x v="2"/>
    <x v="3"/>
    <x v="1"/>
    <x v="334"/>
    <x v="35"/>
  </r>
  <r>
    <x v="6"/>
    <x v="4"/>
    <x v="3"/>
    <x v="0"/>
    <x v="335"/>
    <x v="19"/>
  </r>
  <r>
    <x v="0"/>
    <x v="2"/>
    <x v="0"/>
    <x v="2"/>
    <x v="336"/>
    <x v="71"/>
  </r>
  <r>
    <x v="4"/>
    <x v="1"/>
    <x v="3"/>
    <x v="3"/>
    <x v="336"/>
    <x v="9"/>
  </r>
  <r>
    <x v="0"/>
    <x v="3"/>
    <x v="0"/>
    <x v="0"/>
    <x v="337"/>
    <x v="33"/>
  </r>
  <r>
    <x v="10"/>
    <x v="2"/>
    <x v="0"/>
    <x v="1"/>
    <x v="338"/>
    <x v="6"/>
  </r>
  <r>
    <x v="0"/>
    <x v="0"/>
    <x v="0"/>
    <x v="1"/>
    <x v="338"/>
    <x v="13"/>
  </r>
  <r>
    <x v="5"/>
    <x v="2"/>
    <x v="0"/>
    <x v="4"/>
    <x v="338"/>
    <x v="39"/>
  </r>
  <r>
    <x v="11"/>
    <x v="3"/>
    <x v="2"/>
    <x v="4"/>
    <x v="338"/>
    <x v="3"/>
  </r>
  <r>
    <x v="4"/>
    <x v="2"/>
    <x v="3"/>
    <x v="2"/>
    <x v="339"/>
    <x v="56"/>
  </r>
  <r>
    <x v="9"/>
    <x v="3"/>
    <x v="3"/>
    <x v="0"/>
    <x v="339"/>
    <x v="79"/>
  </r>
  <r>
    <x v="8"/>
    <x v="2"/>
    <x v="3"/>
    <x v="3"/>
    <x v="339"/>
    <x v="28"/>
  </r>
  <r>
    <x v="1"/>
    <x v="4"/>
    <x v="1"/>
    <x v="4"/>
    <x v="339"/>
    <x v="21"/>
  </r>
  <r>
    <x v="3"/>
    <x v="0"/>
    <x v="1"/>
    <x v="0"/>
    <x v="340"/>
    <x v="8"/>
  </r>
  <r>
    <x v="11"/>
    <x v="0"/>
    <x v="2"/>
    <x v="0"/>
    <x v="341"/>
    <x v="0"/>
  </r>
  <r>
    <x v="11"/>
    <x v="0"/>
    <x v="2"/>
    <x v="1"/>
    <x v="341"/>
    <x v="8"/>
  </r>
  <r>
    <x v="2"/>
    <x v="4"/>
    <x v="2"/>
    <x v="1"/>
    <x v="342"/>
    <x v="20"/>
  </r>
  <r>
    <x v="4"/>
    <x v="3"/>
    <x v="3"/>
    <x v="1"/>
    <x v="342"/>
    <x v="44"/>
  </r>
  <r>
    <x v="2"/>
    <x v="3"/>
    <x v="2"/>
    <x v="0"/>
    <x v="343"/>
    <x v="34"/>
  </r>
  <r>
    <x v="6"/>
    <x v="2"/>
    <x v="3"/>
    <x v="1"/>
    <x v="344"/>
    <x v="35"/>
  </r>
  <r>
    <x v="6"/>
    <x v="2"/>
    <x v="3"/>
    <x v="1"/>
    <x v="344"/>
    <x v="4"/>
  </r>
  <r>
    <x v="2"/>
    <x v="2"/>
    <x v="2"/>
    <x v="4"/>
    <x v="344"/>
    <x v="56"/>
  </r>
  <r>
    <x v="9"/>
    <x v="2"/>
    <x v="3"/>
    <x v="2"/>
    <x v="345"/>
    <x v="39"/>
  </r>
  <r>
    <x v="2"/>
    <x v="3"/>
    <x v="2"/>
    <x v="3"/>
    <x v="345"/>
    <x v="44"/>
  </r>
  <r>
    <x v="5"/>
    <x v="2"/>
    <x v="0"/>
    <x v="3"/>
    <x v="346"/>
    <x v="4"/>
  </r>
  <r>
    <x v="10"/>
    <x v="0"/>
    <x v="2"/>
    <x v="1"/>
    <x v="346"/>
    <x v="1"/>
  </r>
  <r>
    <x v="11"/>
    <x v="1"/>
    <x v="2"/>
    <x v="1"/>
    <x v="347"/>
    <x v="48"/>
  </r>
  <r>
    <x v="5"/>
    <x v="1"/>
    <x v="0"/>
    <x v="4"/>
    <x v="347"/>
    <x v="30"/>
  </r>
  <r>
    <x v="0"/>
    <x v="2"/>
    <x v="0"/>
    <x v="3"/>
    <x v="348"/>
    <x v="56"/>
  </r>
  <r>
    <x v="8"/>
    <x v="3"/>
    <x v="3"/>
    <x v="2"/>
    <x v="349"/>
    <x v="68"/>
  </r>
  <r>
    <x v="11"/>
    <x v="3"/>
    <x v="2"/>
    <x v="2"/>
    <x v="349"/>
    <x v="68"/>
  </r>
  <r>
    <x v="8"/>
    <x v="2"/>
    <x v="3"/>
    <x v="4"/>
    <x v="350"/>
    <x v="66"/>
  </r>
  <r>
    <x v="6"/>
    <x v="0"/>
    <x v="3"/>
    <x v="4"/>
    <x v="351"/>
    <x v="8"/>
  </r>
  <r>
    <x v="0"/>
    <x v="3"/>
    <x v="0"/>
    <x v="0"/>
    <x v="352"/>
    <x v="79"/>
  </r>
  <r>
    <x v="11"/>
    <x v="4"/>
    <x v="2"/>
    <x v="1"/>
    <x v="353"/>
    <x v="19"/>
  </r>
  <r>
    <x v="4"/>
    <x v="1"/>
    <x v="3"/>
    <x v="1"/>
    <x v="353"/>
    <x v="16"/>
  </r>
  <r>
    <x v="11"/>
    <x v="0"/>
    <x v="2"/>
    <x v="2"/>
    <x v="354"/>
    <x v="0"/>
  </r>
  <r>
    <x v="5"/>
    <x v="2"/>
    <x v="0"/>
    <x v="3"/>
    <x v="354"/>
    <x v="6"/>
  </r>
  <r>
    <x v="6"/>
    <x v="2"/>
    <x v="3"/>
    <x v="0"/>
    <x v="355"/>
    <x v="35"/>
  </r>
  <r>
    <x v="11"/>
    <x v="2"/>
    <x v="2"/>
    <x v="4"/>
    <x v="356"/>
    <x v="27"/>
  </r>
  <r>
    <x v="0"/>
    <x v="4"/>
    <x v="0"/>
    <x v="1"/>
    <x v="357"/>
    <x v="20"/>
  </r>
  <r>
    <x v="8"/>
    <x v="4"/>
    <x v="3"/>
    <x v="4"/>
    <x v="357"/>
    <x v="21"/>
  </r>
  <r>
    <x v="2"/>
    <x v="0"/>
    <x v="2"/>
    <x v="1"/>
    <x v="358"/>
    <x v="18"/>
  </r>
  <r>
    <x v="8"/>
    <x v="1"/>
    <x v="3"/>
    <x v="1"/>
    <x v="359"/>
    <x v="61"/>
  </r>
  <r>
    <x v="2"/>
    <x v="3"/>
    <x v="2"/>
    <x v="4"/>
    <x v="359"/>
    <x v="63"/>
  </r>
  <r>
    <x v="6"/>
    <x v="0"/>
    <x v="3"/>
    <x v="2"/>
    <x v="360"/>
    <x v="61"/>
  </r>
  <r>
    <x v="8"/>
    <x v="2"/>
    <x v="3"/>
    <x v="1"/>
    <x v="360"/>
    <x v="56"/>
  </r>
  <r>
    <x v="11"/>
    <x v="0"/>
    <x v="2"/>
    <x v="0"/>
    <x v="361"/>
    <x v="51"/>
  </r>
  <r>
    <x v="3"/>
    <x v="2"/>
    <x v="1"/>
    <x v="2"/>
    <x v="362"/>
    <x v="35"/>
  </r>
  <r>
    <x v="2"/>
    <x v="1"/>
    <x v="2"/>
    <x v="1"/>
    <x v="362"/>
    <x v="48"/>
  </r>
  <r>
    <x v="9"/>
    <x v="1"/>
    <x v="3"/>
    <x v="2"/>
    <x v="363"/>
    <x v="9"/>
  </r>
  <r>
    <x v="6"/>
    <x v="2"/>
    <x v="3"/>
    <x v="2"/>
    <x v="363"/>
    <x v="54"/>
  </r>
  <r>
    <x v="1"/>
    <x v="0"/>
    <x v="1"/>
    <x v="2"/>
    <x v="363"/>
    <x v="23"/>
  </r>
  <r>
    <x v="0"/>
    <x v="4"/>
    <x v="0"/>
    <x v="1"/>
    <x v="363"/>
    <x v="72"/>
  </r>
  <r>
    <x v="9"/>
    <x v="2"/>
    <x v="3"/>
    <x v="4"/>
    <x v="363"/>
    <x v="49"/>
  </r>
  <r>
    <x v="4"/>
    <x v="3"/>
    <x v="3"/>
    <x v="0"/>
    <x v="364"/>
    <x v="33"/>
  </r>
  <r>
    <x v="0"/>
    <x v="0"/>
    <x v="0"/>
    <x v="4"/>
    <x v="364"/>
    <x v="13"/>
  </r>
  <r>
    <x v="0"/>
    <x v="4"/>
    <x v="0"/>
    <x v="0"/>
    <x v="365"/>
    <x v="55"/>
  </r>
  <r>
    <x v="5"/>
    <x v="3"/>
    <x v="0"/>
    <x v="4"/>
    <x v="365"/>
    <x v="63"/>
  </r>
  <r>
    <x v="0"/>
    <x v="2"/>
    <x v="0"/>
    <x v="4"/>
    <x v="365"/>
    <x v="35"/>
  </r>
  <r>
    <x v="5"/>
    <x v="1"/>
    <x v="0"/>
    <x v="2"/>
    <x v="366"/>
    <x v="0"/>
  </r>
  <r>
    <x v="1"/>
    <x v="1"/>
    <x v="1"/>
    <x v="3"/>
    <x v="366"/>
    <x v="18"/>
  </r>
  <r>
    <x v="0"/>
    <x v="0"/>
    <x v="0"/>
    <x v="1"/>
    <x v="366"/>
    <x v="30"/>
  </r>
  <r>
    <x v="5"/>
    <x v="1"/>
    <x v="0"/>
    <x v="4"/>
    <x v="366"/>
    <x v="25"/>
  </r>
  <r>
    <x v="8"/>
    <x v="4"/>
    <x v="3"/>
    <x v="1"/>
    <x v="367"/>
    <x v="5"/>
  </r>
  <r>
    <x v="11"/>
    <x v="2"/>
    <x v="2"/>
    <x v="1"/>
    <x v="367"/>
    <x v="2"/>
  </r>
  <r>
    <x v="2"/>
    <x v="1"/>
    <x v="2"/>
    <x v="4"/>
    <x v="367"/>
    <x v="29"/>
  </r>
  <r>
    <x v="10"/>
    <x v="2"/>
    <x v="0"/>
    <x v="2"/>
    <x v="368"/>
    <x v="54"/>
  </r>
  <r>
    <x v="8"/>
    <x v="3"/>
    <x v="3"/>
    <x v="1"/>
    <x v="368"/>
    <x v="68"/>
  </r>
  <r>
    <x v="2"/>
    <x v="0"/>
    <x v="2"/>
    <x v="3"/>
    <x v="369"/>
    <x v="29"/>
  </r>
  <r>
    <x v="2"/>
    <x v="1"/>
    <x v="2"/>
    <x v="1"/>
    <x v="370"/>
    <x v="29"/>
  </r>
  <r>
    <x v="3"/>
    <x v="2"/>
    <x v="1"/>
    <x v="4"/>
    <x v="371"/>
    <x v="35"/>
  </r>
  <r>
    <x v="6"/>
    <x v="4"/>
    <x v="3"/>
    <x v="3"/>
    <x v="372"/>
    <x v="19"/>
  </r>
  <r>
    <x v="1"/>
    <x v="2"/>
    <x v="1"/>
    <x v="4"/>
    <x v="373"/>
    <x v="39"/>
  </r>
  <r>
    <x v="2"/>
    <x v="3"/>
    <x v="2"/>
    <x v="3"/>
    <x v="374"/>
    <x v="34"/>
  </r>
  <r>
    <x v="9"/>
    <x v="3"/>
    <x v="3"/>
    <x v="4"/>
    <x v="374"/>
    <x v="50"/>
  </r>
  <r>
    <x v="2"/>
    <x v="1"/>
    <x v="2"/>
    <x v="2"/>
    <x v="375"/>
    <x v="48"/>
  </r>
  <r>
    <x v="8"/>
    <x v="0"/>
    <x v="3"/>
    <x v="4"/>
    <x v="376"/>
    <x v="13"/>
  </r>
  <r>
    <x v="2"/>
    <x v="1"/>
    <x v="2"/>
    <x v="1"/>
    <x v="377"/>
    <x v="48"/>
  </r>
  <r>
    <x v="2"/>
    <x v="1"/>
    <x v="2"/>
    <x v="1"/>
    <x v="378"/>
    <x v="61"/>
  </r>
  <r>
    <x v="2"/>
    <x v="2"/>
    <x v="2"/>
    <x v="1"/>
    <x v="379"/>
    <x v="2"/>
  </r>
  <r>
    <x v="4"/>
    <x v="4"/>
    <x v="3"/>
    <x v="2"/>
    <x v="380"/>
    <x v="5"/>
  </r>
  <r>
    <x v="3"/>
    <x v="3"/>
    <x v="1"/>
    <x v="3"/>
    <x v="381"/>
    <x v="3"/>
  </r>
  <r>
    <x v="0"/>
    <x v="0"/>
    <x v="0"/>
    <x v="4"/>
    <x v="381"/>
    <x v="13"/>
  </r>
  <r>
    <x v="6"/>
    <x v="0"/>
    <x v="3"/>
    <x v="2"/>
    <x v="382"/>
    <x v="0"/>
  </r>
  <r>
    <x v="5"/>
    <x v="2"/>
    <x v="0"/>
    <x v="2"/>
    <x v="382"/>
    <x v="66"/>
  </r>
  <r>
    <x v="11"/>
    <x v="3"/>
    <x v="2"/>
    <x v="2"/>
    <x v="382"/>
    <x v="69"/>
  </r>
  <r>
    <x v="0"/>
    <x v="1"/>
    <x v="0"/>
    <x v="2"/>
    <x v="382"/>
    <x v="16"/>
  </r>
  <r>
    <x v="2"/>
    <x v="3"/>
    <x v="2"/>
    <x v="3"/>
    <x v="382"/>
    <x v="58"/>
  </r>
  <r>
    <x v="1"/>
    <x v="3"/>
    <x v="1"/>
    <x v="3"/>
    <x v="382"/>
    <x v="47"/>
  </r>
  <r>
    <x v="1"/>
    <x v="1"/>
    <x v="1"/>
    <x v="4"/>
    <x v="382"/>
    <x v="18"/>
  </r>
  <r>
    <x v="2"/>
    <x v="2"/>
    <x v="2"/>
    <x v="2"/>
    <x v="383"/>
    <x v="2"/>
  </r>
  <r>
    <x v="3"/>
    <x v="1"/>
    <x v="1"/>
    <x v="4"/>
    <x v="383"/>
    <x v="9"/>
  </r>
  <r>
    <x v="6"/>
    <x v="2"/>
    <x v="3"/>
    <x v="4"/>
    <x v="383"/>
    <x v="39"/>
  </r>
  <r>
    <x v="1"/>
    <x v="2"/>
    <x v="1"/>
    <x v="1"/>
    <x v="384"/>
    <x v="49"/>
  </r>
  <r>
    <x v="0"/>
    <x v="3"/>
    <x v="0"/>
    <x v="0"/>
    <x v="385"/>
    <x v="67"/>
  </r>
  <r>
    <x v="0"/>
    <x v="1"/>
    <x v="0"/>
    <x v="1"/>
    <x v="385"/>
    <x v="9"/>
  </r>
  <r>
    <x v="10"/>
    <x v="4"/>
    <x v="0"/>
    <x v="4"/>
    <x v="385"/>
    <x v="38"/>
  </r>
  <r>
    <x v="8"/>
    <x v="1"/>
    <x v="3"/>
    <x v="2"/>
    <x v="386"/>
    <x v="18"/>
  </r>
  <r>
    <x v="11"/>
    <x v="3"/>
    <x v="2"/>
    <x v="0"/>
    <x v="386"/>
    <x v="67"/>
  </r>
  <r>
    <x v="11"/>
    <x v="1"/>
    <x v="2"/>
    <x v="3"/>
    <x v="386"/>
    <x v="8"/>
  </r>
  <r>
    <x v="8"/>
    <x v="1"/>
    <x v="3"/>
    <x v="4"/>
    <x v="386"/>
    <x v="8"/>
  </r>
  <r>
    <x v="9"/>
    <x v="3"/>
    <x v="3"/>
    <x v="4"/>
    <x v="386"/>
    <x v="58"/>
  </r>
  <r>
    <x v="1"/>
    <x v="4"/>
    <x v="1"/>
    <x v="0"/>
    <x v="387"/>
    <x v="62"/>
  </r>
  <r>
    <x v="0"/>
    <x v="1"/>
    <x v="0"/>
    <x v="4"/>
    <x v="387"/>
    <x v="61"/>
  </r>
  <r>
    <x v="0"/>
    <x v="3"/>
    <x v="0"/>
    <x v="2"/>
    <x v="388"/>
    <x v="58"/>
  </r>
  <r>
    <x v="2"/>
    <x v="2"/>
    <x v="2"/>
    <x v="4"/>
    <x v="389"/>
    <x v="2"/>
  </r>
  <r>
    <x v="2"/>
    <x v="1"/>
    <x v="2"/>
    <x v="2"/>
    <x v="390"/>
    <x v="9"/>
  </r>
  <r>
    <x v="3"/>
    <x v="3"/>
    <x v="1"/>
    <x v="3"/>
    <x v="390"/>
    <x v="10"/>
  </r>
  <r>
    <x v="9"/>
    <x v="4"/>
    <x v="3"/>
    <x v="1"/>
    <x v="391"/>
    <x v="65"/>
  </r>
  <r>
    <x v="4"/>
    <x v="0"/>
    <x v="3"/>
    <x v="1"/>
    <x v="391"/>
    <x v="30"/>
  </r>
  <r>
    <x v="9"/>
    <x v="3"/>
    <x v="3"/>
    <x v="4"/>
    <x v="391"/>
    <x v="10"/>
  </r>
  <r>
    <x v="6"/>
    <x v="4"/>
    <x v="3"/>
    <x v="3"/>
    <x v="392"/>
    <x v="32"/>
  </r>
  <r>
    <x v="11"/>
    <x v="4"/>
    <x v="2"/>
    <x v="1"/>
    <x v="392"/>
    <x v="31"/>
  </r>
  <r>
    <x v="9"/>
    <x v="2"/>
    <x v="3"/>
    <x v="4"/>
    <x v="392"/>
    <x v="14"/>
  </r>
  <r>
    <x v="11"/>
    <x v="1"/>
    <x v="2"/>
    <x v="1"/>
    <x v="393"/>
    <x v="0"/>
  </r>
  <r>
    <x v="10"/>
    <x v="4"/>
    <x v="0"/>
    <x v="2"/>
    <x v="394"/>
    <x v="38"/>
  </r>
  <r>
    <x v="9"/>
    <x v="2"/>
    <x v="3"/>
    <x v="0"/>
    <x v="394"/>
    <x v="73"/>
  </r>
  <r>
    <x v="8"/>
    <x v="4"/>
    <x v="3"/>
    <x v="0"/>
    <x v="395"/>
    <x v="40"/>
  </r>
  <r>
    <x v="8"/>
    <x v="3"/>
    <x v="3"/>
    <x v="2"/>
    <x v="396"/>
    <x v="69"/>
  </r>
  <r>
    <x v="4"/>
    <x v="3"/>
    <x v="3"/>
    <x v="2"/>
    <x v="396"/>
    <x v="69"/>
  </r>
  <r>
    <x v="10"/>
    <x v="1"/>
    <x v="0"/>
    <x v="0"/>
    <x v="396"/>
    <x v="24"/>
  </r>
  <r>
    <x v="9"/>
    <x v="2"/>
    <x v="3"/>
    <x v="3"/>
    <x v="396"/>
    <x v="39"/>
  </r>
  <r>
    <x v="11"/>
    <x v="3"/>
    <x v="2"/>
    <x v="0"/>
    <x v="397"/>
    <x v="58"/>
  </r>
  <r>
    <x v="3"/>
    <x v="4"/>
    <x v="1"/>
    <x v="3"/>
    <x v="397"/>
    <x v="65"/>
  </r>
  <r>
    <x v="3"/>
    <x v="3"/>
    <x v="1"/>
    <x v="4"/>
    <x v="397"/>
    <x v="53"/>
  </r>
  <r>
    <x v="3"/>
    <x v="1"/>
    <x v="1"/>
    <x v="4"/>
    <x v="397"/>
    <x v="29"/>
  </r>
  <r>
    <x v="2"/>
    <x v="3"/>
    <x v="2"/>
    <x v="4"/>
    <x v="398"/>
    <x v="50"/>
  </r>
  <r>
    <x v="0"/>
    <x v="3"/>
    <x v="0"/>
    <x v="0"/>
    <x v="399"/>
    <x v="33"/>
  </r>
  <r>
    <x v="2"/>
    <x v="3"/>
    <x v="2"/>
    <x v="2"/>
    <x v="400"/>
    <x v="10"/>
  </r>
  <r>
    <x v="2"/>
    <x v="0"/>
    <x v="2"/>
    <x v="2"/>
    <x v="401"/>
    <x v="11"/>
  </r>
  <r>
    <x v="6"/>
    <x v="1"/>
    <x v="3"/>
    <x v="4"/>
    <x v="401"/>
    <x v="29"/>
  </r>
  <r>
    <x v="0"/>
    <x v="4"/>
    <x v="0"/>
    <x v="3"/>
    <x v="402"/>
    <x v="60"/>
  </r>
  <r>
    <x v="4"/>
    <x v="0"/>
    <x v="3"/>
    <x v="3"/>
    <x v="403"/>
    <x v="18"/>
  </r>
  <r>
    <x v="10"/>
    <x v="4"/>
    <x v="0"/>
    <x v="0"/>
    <x v="404"/>
    <x v="32"/>
  </r>
  <r>
    <x v="3"/>
    <x v="1"/>
    <x v="1"/>
    <x v="2"/>
    <x v="405"/>
    <x v="8"/>
  </r>
  <r>
    <x v="3"/>
    <x v="0"/>
    <x v="1"/>
    <x v="1"/>
    <x v="405"/>
    <x v="29"/>
  </r>
  <r>
    <x v="11"/>
    <x v="1"/>
    <x v="2"/>
    <x v="0"/>
    <x v="406"/>
    <x v="42"/>
  </r>
  <r>
    <x v="2"/>
    <x v="3"/>
    <x v="2"/>
    <x v="1"/>
    <x v="406"/>
    <x v="69"/>
  </r>
  <r>
    <x v="0"/>
    <x v="1"/>
    <x v="0"/>
    <x v="0"/>
    <x v="407"/>
    <x v="51"/>
  </r>
  <r>
    <x v="3"/>
    <x v="3"/>
    <x v="1"/>
    <x v="0"/>
    <x v="408"/>
    <x v="59"/>
  </r>
  <r>
    <x v="11"/>
    <x v="2"/>
    <x v="2"/>
    <x v="3"/>
    <x v="408"/>
    <x v="35"/>
  </r>
  <r>
    <x v="3"/>
    <x v="4"/>
    <x v="1"/>
    <x v="1"/>
    <x v="408"/>
    <x v="5"/>
  </r>
  <r>
    <x v="0"/>
    <x v="4"/>
    <x v="0"/>
    <x v="1"/>
    <x v="408"/>
    <x v="21"/>
  </r>
  <r>
    <x v="4"/>
    <x v="3"/>
    <x v="3"/>
    <x v="2"/>
    <x v="409"/>
    <x v="68"/>
  </r>
  <r>
    <x v="10"/>
    <x v="3"/>
    <x v="0"/>
    <x v="1"/>
    <x v="410"/>
    <x v="34"/>
  </r>
  <r>
    <x v="4"/>
    <x v="4"/>
    <x v="3"/>
    <x v="0"/>
    <x v="411"/>
    <x v="46"/>
  </r>
  <r>
    <x v="6"/>
    <x v="4"/>
    <x v="3"/>
    <x v="2"/>
    <x v="412"/>
    <x v="20"/>
  </r>
  <r>
    <x v="3"/>
    <x v="0"/>
    <x v="1"/>
    <x v="1"/>
    <x v="412"/>
    <x v="23"/>
  </r>
  <r>
    <x v="9"/>
    <x v="1"/>
    <x v="3"/>
    <x v="4"/>
    <x v="412"/>
    <x v="23"/>
  </r>
  <r>
    <x v="6"/>
    <x v="4"/>
    <x v="3"/>
    <x v="2"/>
    <x v="413"/>
    <x v="5"/>
  </r>
  <r>
    <x v="4"/>
    <x v="2"/>
    <x v="3"/>
    <x v="2"/>
    <x v="413"/>
    <x v="49"/>
  </r>
  <r>
    <x v="2"/>
    <x v="1"/>
    <x v="2"/>
    <x v="1"/>
    <x v="413"/>
    <x v="18"/>
  </r>
  <r>
    <x v="0"/>
    <x v="4"/>
    <x v="0"/>
    <x v="2"/>
    <x v="414"/>
    <x v="7"/>
  </r>
  <r>
    <x v="3"/>
    <x v="0"/>
    <x v="1"/>
    <x v="0"/>
    <x v="414"/>
    <x v="26"/>
  </r>
  <r>
    <x v="0"/>
    <x v="3"/>
    <x v="0"/>
    <x v="3"/>
    <x v="414"/>
    <x v="64"/>
  </r>
  <r>
    <x v="3"/>
    <x v="0"/>
    <x v="1"/>
    <x v="3"/>
    <x v="415"/>
    <x v="8"/>
  </r>
  <r>
    <x v="0"/>
    <x v="3"/>
    <x v="0"/>
    <x v="0"/>
    <x v="416"/>
    <x v="57"/>
  </r>
  <r>
    <x v="6"/>
    <x v="3"/>
    <x v="3"/>
    <x v="4"/>
    <x v="416"/>
    <x v="57"/>
  </r>
  <r>
    <x v="3"/>
    <x v="0"/>
    <x v="1"/>
    <x v="3"/>
    <x v="417"/>
    <x v="61"/>
  </r>
  <r>
    <x v="1"/>
    <x v="2"/>
    <x v="1"/>
    <x v="3"/>
    <x v="417"/>
    <x v="49"/>
  </r>
  <r>
    <x v="10"/>
    <x v="3"/>
    <x v="0"/>
    <x v="1"/>
    <x v="417"/>
    <x v="34"/>
  </r>
  <r>
    <x v="2"/>
    <x v="4"/>
    <x v="2"/>
    <x v="3"/>
    <x v="418"/>
    <x v="37"/>
  </r>
  <r>
    <x v="1"/>
    <x v="4"/>
    <x v="1"/>
    <x v="2"/>
    <x v="419"/>
    <x v="20"/>
  </r>
  <r>
    <x v="1"/>
    <x v="1"/>
    <x v="1"/>
    <x v="2"/>
    <x v="420"/>
    <x v="61"/>
  </r>
  <r>
    <x v="0"/>
    <x v="3"/>
    <x v="0"/>
    <x v="3"/>
    <x v="420"/>
    <x v="58"/>
  </r>
  <r>
    <x v="2"/>
    <x v="1"/>
    <x v="2"/>
    <x v="2"/>
    <x v="421"/>
    <x v="1"/>
  </r>
  <r>
    <x v="1"/>
    <x v="0"/>
    <x v="1"/>
    <x v="3"/>
    <x v="421"/>
    <x v="9"/>
  </r>
  <r>
    <x v="2"/>
    <x v="1"/>
    <x v="2"/>
    <x v="4"/>
    <x v="422"/>
    <x v="30"/>
  </r>
  <r>
    <x v="1"/>
    <x v="3"/>
    <x v="1"/>
    <x v="4"/>
    <x v="422"/>
    <x v="33"/>
  </r>
  <r>
    <x v="6"/>
    <x v="4"/>
    <x v="3"/>
    <x v="0"/>
    <x v="423"/>
    <x v="62"/>
  </r>
  <r>
    <x v="4"/>
    <x v="2"/>
    <x v="3"/>
    <x v="3"/>
    <x v="423"/>
    <x v="4"/>
  </r>
  <r>
    <x v="1"/>
    <x v="4"/>
    <x v="1"/>
    <x v="4"/>
    <x v="423"/>
    <x v="60"/>
  </r>
  <r>
    <x v="6"/>
    <x v="3"/>
    <x v="3"/>
    <x v="1"/>
    <x v="424"/>
    <x v="3"/>
  </r>
  <r>
    <x v="3"/>
    <x v="3"/>
    <x v="1"/>
    <x v="4"/>
    <x v="425"/>
    <x v="3"/>
  </r>
  <r>
    <x v="10"/>
    <x v="0"/>
    <x v="2"/>
    <x v="1"/>
    <x v="426"/>
    <x v="13"/>
  </r>
  <r>
    <x v="0"/>
    <x v="4"/>
    <x v="0"/>
    <x v="2"/>
    <x v="427"/>
    <x v="19"/>
  </r>
  <r>
    <x v="9"/>
    <x v="4"/>
    <x v="3"/>
    <x v="1"/>
    <x v="427"/>
    <x v="37"/>
  </r>
  <r>
    <x v="4"/>
    <x v="1"/>
    <x v="3"/>
    <x v="1"/>
    <x v="427"/>
    <x v="18"/>
  </r>
  <r>
    <x v="0"/>
    <x v="4"/>
    <x v="0"/>
    <x v="3"/>
    <x v="428"/>
    <x v="19"/>
  </r>
  <r>
    <x v="3"/>
    <x v="0"/>
    <x v="1"/>
    <x v="4"/>
    <x v="428"/>
    <x v="61"/>
  </r>
  <r>
    <x v="0"/>
    <x v="1"/>
    <x v="0"/>
    <x v="4"/>
    <x v="428"/>
    <x v="61"/>
  </r>
  <r>
    <x v="0"/>
    <x v="4"/>
    <x v="0"/>
    <x v="3"/>
    <x v="429"/>
    <x v="15"/>
  </r>
  <r>
    <x v="0"/>
    <x v="3"/>
    <x v="0"/>
    <x v="3"/>
    <x v="429"/>
    <x v="69"/>
  </r>
  <r>
    <x v="1"/>
    <x v="4"/>
    <x v="1"/>
    <x v="0"/>
    <x v="430"/>
    <x v="41"/>
  </r>
  <r>
    <x v="0"/>
    <x v="1"/>
    <x v="0"/>
    <x v="4"/>
    <x v="431"/>
    <x v="1"/>
  </r>
  <r>
    <x v="6"/>
    <x v="1"/>
    <x v="3"/>
    <x v="2"/>
    <x v="432"/>
    <x v="0"/>
  </r>
  <r>
    <x v="4"/>
    <x v="4"/>
    <x v="3"/>
    <x v="3"/>
    <x v="432"/>
    <x v="65"/>
  </r>
  <r>
    <x v="0"/>
    <x v="0"/>
    <x v="0"/>
    <x v="2"/>
    <x v="433"/>
    <x v="0"/>
  </r>
  <r>
    <x v="3"/>
    <x v="1"/>
    <x v="1"/>
    <x v="3"/>
    <x v="433"/>
    <x v="9"/>
  </r>
  <r>
    <x v="4"/>
    <x v="2"/>
    <x v="3"/>
    <x v="4"/>
    <x v="433"/>
    <x v="22"/>
  </r>
  <r>
    <x v="3"/>
    <x v="1"/>
    <x v="1"/>
    <x v="0"/>
    <x v="434"/>
    <x v="9"/>
  </r>
  <r>
    <x v="6"/>
    <x v="1"/>
    <x v="3"/>
    <x v="2"/>
    <x v="435"/>
    <x v="24"/>
  </r>
  <r>
    <x v="1"/>
    <x v="3"/>
    <x v="1"/>
    <x v="1"/>
    <x v="435"/>
    <x v="47"/>
  </r>
  <r>
    <x v="10"/>
    <x v="1"/>
    <x v="0"/>
    <x v="2"/>
    <x v="436"/>
    <x v="13"/>
  </r>
  <r>
    <x v="6"/>
    <x v="4"/>
    <x v="3"/>
    <x v="2"/>
    <x v="437"/>
    <x v="21"/>
  </r>
  <r>
    <x v="3"/>
    <x v="4"/>
    <x v="1"/>
    <x v="2"/>
    <x v="438"/>
    <x v="40"/>
  </r>
  <r>
    <x v="1"/>
    <x v="2"/>
    <x v="1"/>
    <x v="2"/>
    <x v="438"/>
    <x v="39"/>
  </r>
  <r>
    <x v="6"/>
    <x v="1"/>
    <x v="3"/>
    <x v="3"/>
    <x v="438"/>
    <x v="23"/>
  </r>
  <r>
    <x v="3"/>
    <x v="3"/>
    <x v="1"/>
    <x v="2"/>
    <x v="439"/>
    <x v="50"/>
  </r>
  <r>
    <x v="9"/>
    <x v="0"/>
    <x v="3"/>
    <x v="0"/>
    <x v="440"/>
    <x v="23"/>
  </r>
  <r>
    <x v="1"/>
    <x v="3"/>
    <x v="1"/>
    <x v="0"/>
    <x v="440"/>
    <x v="58"/>
  </r>
  <r>
    <x v="9"/>
    <x v="0"/>
    <x v="3"/>
    <x v="1"/>
    <x v="440"/>
    <x v="16"/>
  </r>
  <r>
    <x v="0"/>
    <x v="1"/>
    <x v="0"/>
    <x v="0"/>
    <x v="441"/>
    <x v="9"/>
  </r>
  <r>
    <x v="1"/>
    <x v="3"/>
    <x v="1"/>
    <x v="3"/>
    <x v="441"/>
    <x v="58"/>
  </r>
  <r>
    <x v="10"/>
    <x v="3"/>
    <x v="0"/>
    <x v="2"/>
    <x v="442"/>
    <x v="44"/>
  </r>
  <r>
    <x v="4"/>
    <x v="1"/>
    <x v="3"/>
    <x v="0"/>
    <x v="442"/>
    <x v="23"/>
  </r>
  <r>
    <x v="0"/>
    <x v="3"/>
    <x v="0"/>
    <x v="3"/>
    <x v="442"/>
    <x v="64"/>
  </r>
  <r>
    <x v="9"/>
    <x v="1"/>
    <x v="3"/>
    <x v="1"/>
    <x v="442"/>
    <x v="48"/>
  </r>
  <r>
    <x v="6"/>
    <x v="3"/>
    <x v="3"/>
    <x v="4"/>
    <x v="442"/>
    <x v="63"/>
  </r>
  <r>
    <x v="6"/>
    <x v="0"/>
    <x v="3"/>
    <x v="0"/>
    <x v="443"/>
    <x v="18"/>
  </r>
  <r>
    <x v="2"/>
    <x v="0"/>
    <x v="2"/>
    <x v="0"/>
    <x v="444"/>
    <x v="24"/>
  </r>
  <r>
    <x v="1"/>
    <x v="1"/>
    <x v="1"/>
    <x v="1"/>
    <x v="444"/>
    <x v="24"/>
  </r>
  <r>
    <x v="0"/>
    <x v="4"/>
    <x v="0"/>
    <x v="1"/>
    <x v="444"/>
    <x v="60"/>
  </r>
  <r>
    <x v="0"/>
    <x v="1"/>
    <x v="0"/>
    <x v="1"/>
    <x v="444"/>
    <x v="25"/>
  </r>
  <r>
    <x v="4"/>
    <x v="2"/>
    <x v="3"/>
    <x v="2"/>
    <x v="445"/>
    <x v="2"/>
  </r>
  <r>
    <x v="10"/>
    <x v="1"/>
    <x v="0"/>
    <x v="0"/>
    <x v="445"/>
    <x v="45"/>
  </r>
  <r>
    <x v="0"/>
    <x v="4"/>
    <x v="0"/>
    <x v="0"/>
    <x v="445"/>
    <x v="38"/>
  </r>
  <r>
    <x v="9"/>
    <x v="3"/>
    <x v="3"/>
    <x v="2"/>
    <x v="446"/>
    <x v="3"/>
  </r>
  <r>
    <x v="3"/>
    <x v="0"/>
    <x v="1"/>
    <x v="0"/>
    <x v="446"/>
    <x v="42"/>
  </r>
  <r>
    <x v="3"/>
    <x v="1"/>
    <x v="1"/>
    <x v="3"/>
    <x v="446"/>
    <x v="24"/>
  </r>
  <r>
    <x v="4"/>
    <x v="1"/>
    <x v="3"/>
    <x v="4"/>
    <x v="446"/>
    <x v="25"/>
  </r>
  <r>
    <x v="2"/>
    <x v="2"/>
    <x v="2"/>
    <x v="2"/>
    <x v="447"/>
    <x v="14"/>
  </r>
  <r>
    <x v="1"/>
    <x v="3"/>
    <x v="1"/>
    <x v="1"/>
    <x v="448"/>
    <x v="33"/>
  </r>
  <r>
    <x v="0"/>
    <x v="0"/>
    <x v="0"/>
    <x v="1"/>
    <x v="448"/>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8">
    <pivotField showAll="0">
      <items count="13">
        <item x="10"/>
        <item x="9"/>
        <item x="8"/>
        <item x="1"/>
        <item x="2"/>
        <item x="3"/>
        <item x="11"/>
        <item x="4"/>
        <item x="5"/>
        <item x="0"/>
        <item x="6"/>
        <item x="7"/>
        <item t="default"/>
      </items>
    </pivotField>
    <pivotField showAll="0">
      <items count="6">
        <item x="3"/>
        <item x="1"/>
        <item x="4"/>
        <item x="2"/>
        <item x="0"/>
        <item t="default"/>
      </items>
    </pivotField>
    <pivotField showAll="0">
      <items count="5">
        <item x="1"/>
        <item x="2"/>
        <item x="0"/>
        <item x="3"/>
        <item t="default"/>
      </items>
    </pivotField>
    <pivotField showAll="0">
      <items count="6">
        <item x="2"/>
        <item x="0"/>
        <item x="3"/>
        <item x="1"/>
        <item x="4"/>
        <item t="default"/>
      </items>
    </pivotField>
    <pivotField axis="axisRow" numFmtId="15" showAll="0">
      <items count="15">
        <item x="0"/>
        <item x="1"/>
        <item x="2"/>
        <item x="3"/>
        <item x="4"/>
        <item x="5"/>
        <item x="6"/>
        <item x="7"/>
        <item x="8"/>
        <item x="9"/>
        <item x="10"/>
        <item x="11"/>
        <item x="12"/>
        <item x="13"/>
        <item t="default"/>
      </items>
    </pivotField>
    <pivotField dataField="1" numFmtId="43" showAll="0">
      <items count="81">
        <item x="49"/>
        <item x="66"/>
        <item x="69"/>
        <item x="56"/>
        <item x="71"/>
        <item x="68"/>
        <item x="29"/>
        <item x="22"/>
        <item x="52"/>
        <item x="3"/>
        <item x="2"/>
        <item x="35"/>
        <item x="44"/>
        <item x="1"/>
        <item x="27"/>
        <item x="6"/>
        <item x="37"/>
        <item x="63"/>
        <item x="14"/>
        <item x="4"/>
        <item x="58"/>
        <item x="30"/>
        <item x="54"/>
        <item x="28"/>
        <item x="64"/>
        <item x="39"/>
        <item x="76"/>
        <item x="33"/>
        <item x="36"/>
        <item x="11"/>
        <item x="78"/>
        <item x="73"/>
        <item x="57"/>
        <item x="17"/>
        <item x="7"/>
        <item x="10"/>
        <item x="48"/>
        <item x="12"/>
        <item x="50"/>
        <item x="8"/>
        <item x="34"/>
        <item x="53"/>
        <item x="13"/>
        <item x="60"/>
        <item x="47"/>
        <item x="77"/>
        <item x="18"/>
        <item x="79"/>
        <item x="59"/>
        <item x="0"/>
        <item x="31"/>
        <item x="74"/>
        <item x="67"/>
        <item x="61"/>
        <item x="23"/>
        <item x="21"/>
        <item x="24"/>
        <item x="9"/>
        <item x="16"/>
        <item x="15"/>
        <item x="25"/>
        <item x="51"/>
        <item x="20"/>
        <item x="26"/>
        <item x="42"/>
        <item x="46"/>
        <item x="70"/>
        <item x="45"/>
        <item x="38"/>
        <item x="19"/>
        <item x="32"/>
        <item x="72"/>
        <item x="5"/>
        <item x="40"/>
        <item x="65"/>
        <item x="55"/>
        <item x="43"/>
        <item x="41"/>
        <item x="62"/>
        <item x="75"/>
        <item t="default"/>
      </items>
    </pivotField>
    <pivotField showAll="0" defaultSubtotal="0">
      <items count="6">
        <item sd="0" x="0"/>
        <item sd="0" x="1"/>
        <item sd="0" x="2"/>
        <item sd="0" x="3"/>
        <item sd="0" x="4"/>
        <item sd="0" x="5"/>
      </items>
    </pivotField>
    <pivotField showAll="0" defaultSubtotal="0">
      <items count="4">
        <item sd="0" x="0"/>
        <item x="1"/>
        <item sd="0" x="2"/>
        <item sd="0" x="3"/>
      </items>
    </pivotField>
  </pivotFields>
  <rowFields count="1">
    <field x="4"/>
  </rowFields>
  <rowItems count="13">
    <i>
      <x v="1"/>
    </i>
    <i>
      <x v="2"/>
    </i>
    <i>
      <x v="3"/>
    </i>
    <i>
      <x v="4"/>
    </i>
    <i>
      <x v="5"/>
    </i>
    <i>
      <x v="6"/>
    </i>
    <i>
      <x v="7"/>
    </i>
    <i>
      <x v="8"/>
    </i>
    <i>
      <x v="9"/>
    </i>
    <i>
      <x v="10"/>
    </i>
    <i>
      <x v="11"/>
    </i>
    <i>
      <x v="12"/>
    </i>
    <i t="grand">
      <x/>
    </i>
  </rowItems>
  <colItems count="1">
    <i/>
  </colItems>
  <dataFields count="1">
    <dataField name="Sum of Total Sales" fld="5" baseField="0" baseItem="0" numFmtId="43"/>
  </dataFields>
  <formats count="1">
    <format dxfId="5">
      <pivotArea outline="0" collapsedLevelsAreSubtotals="1" fieldPosition="0"/>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8">
    <pivotField showAll="0"/>
    <pivotField showAll="0"/>
    <pivotField axis="axisRow" showAll="0">
      <items count="5">
        <item x="1"/>
        <item x="2"/>
        <item x="0"/>
        <item x="3"/>
        <item t="default"/>
      </items>
    </pivotField>
    <pivotField showAll="0"/>
    <pivotField numFmtId="15" showAll="0">
      <items count="15">
        <item x="0"/>
        <item x="1"/>
        <item x="2"/>
        <item x="3"/>
        <item x="4"/>
        <item x="5"/>
        <item x="6"/>
        <item x="7"/>
        <item x="8"/>
        <item x="9"/>
        <item x="10"/>
        <item x="11"/>
        <item x="12"/>
        <item x="13"/>
        <item t="default"/>
      </items>
    </pivotField>
    <pivotField dataField="1" numFmtId="43" showAll="0"/>
    <pivotField showAll="0" defaultSubtotal="0">
      <items count="6">
        <item x="0"/>
        <item x="1"/>
        <item x="2"/>
        <item x="3"/>
        <item x="4"/>
        <item x="5"/>
      </items>
    </pivotField>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Total Sales" fld="5" baseField="0" baseItem="0" numFmtId="43"/>
  </dataFields>
  <formats count="1">
    <format dxfId="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8">
    <pivotField showAll="0">
      <items count="13">
        <item x="10"/>
        <item x="9"/>
        <item x="8"/>
        <item x="1"/>
        <item x="2"/>
        <item x="3"/>
        <item x="11"/>
        <item x="4"/>
        <item x="5"/>
        <item x="0"/>
        <item x="6"/>
        <item x="7"/>
        <item t="default"/>
      </items>
    </pivotField>
    <pivotField showAll="0"/>
    <pivotField showAll="0"/>
    <pivotField axis="axisRow" showAll="0" sortType="ascending">
      <items count="6">
        <item x="4"/>
        <item x="1"/>
        <item x="3"/>
        <item x="0"/>
        <item x="2"/>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dataField="1" numFmtId="43"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6">
    <i>
      <x/>
    </i>
    <i>
      <x v="2"/>
    </i>
    <i>
      <x v="4"/>
    </i>
    <i>
      <x v="1"/>
    </i>
    <i>
      <x v="3"/>
    </i>
    <i t="grand">
      <x/>
    </i>
  </rowItems>
  <colItems count="1">
    <i/>
  </colItems>
  <dataFields count="1">
    <dataField name="Sum of Total Sales" fld="5" baseField="0" baseItem="0" numFmtId="43"/>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8">
    <pivotField showAll="0">
      <items count="13">
        <item x="10"/>
        <item x="9"/>
        <item x="8"/>
        <item x="1"/>
        <item x="2"/>
        <item x="3"/>
        <item x="11"/>
        <item x="4"/>
        <item x="5"/>
        <item x="0"/>
        <item x="6"/>
        <item x="7"/>
        <item t="default"/>
      </items>
    </pivotField>
    <pivotField axis="axisRow" showAll="0" sortType="descending">
      <items count="6">
        <item x="3"/>
        <item x="1"/>
        <item x="4"/>
        <item x="2"/>
        <item x="0"/>
        <item t="default"/>
      </items>
      <autoSortScope>
        <pivotArea dataOnly="0" outline="0" fieldPosition="0">
          <references count="1">
            <reference field="4294967294" count="1" selected="0">
              <x v="0"/>
            </reference>
          </references>
        </pivotArea>
      </autoSortScope>
    </pivotField>
    <pivotField showAll="0"/>
    <pivotField showAll="0"/>
    <pivotField numFmtId="15" showAll="0">
      <items count="15">
        <item x="0"/>
        <item x="1"/>
        <item x="2"/>
        <item x="3"/>
        <item x="4"/>
        <item x="5"/>
        <item x="6"/>
        <item x="7"/>
        <item x="8"/>
        <item x="9"/>
        <item x="10"/>
        <item x="11"/>
        <item x="12"/>
        <item x="13"/>
        <item t="default"/>
      </items>
    </pivotField>
    <pivotField dataField="1" numFmtId="43" showAll="0"/>
    <pivotField showAll="0" defaultSubtotal="0">
      <items count="6">
        <item x="0"/>
        <item x="1"/>
        <item x="2"/>
        <item x="3"/>
        <item x="4"/>
        <item x="5"/>
      </items>
    </pivotField>
    <pivotField showAll="0" defaultSubtotal="0">
      <items count="4">
        <item x="0"/>
        <item x="1"/>
        <item x="2"/>
        <item x="3"/>
      </items>
    </pivotField>
  </pivotFields>
  <rowFields count="1">
    <field x="1"/>
  </rowFields>
  <rowItems count="6">
    <i>
      <x v="2"/>
    </i>
    <i>
      <x v="1"/>
    </i>
    <i>
      <x v="4"/>
    </i>
    <i>
      <x/>
    </i>
    <i>
      <x v="3"/>
    </i>
    <i t="grand">
      <x/>
    </i>
  </rowItems>
  <colItems count="1">
    <i/>
  </colItems>
  <dataFields count="1">
    <dataField name="Sum of Total Sales" fld="5" baseField="1" baseItem="0" numFmtId="43"/>
  </dataFields>
  <formats count="3">
    <format dxfId="7">
      <pivotArea outline="0" collapsedLevelsAreSubtotals="1" fieldPosition="0"/>
    </format>
    <format dxfId="3">
      <pivotArea outline="0" fieldPosition="0">
        <references count="1">
          <reference field="4294967294" count="1">
            <x v="0"/>
          </reference>
        </references>
      </pivotArea>
    </format>
    <format dxfId="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8">
    <pivotField axis="axisRow" showAll="0">
      <items count="13">
        <item x="10"/>
        <item x="9"/>
        <item x="8"/>
        <item x="1"/>
        <item x="2"/>
        <item x="3"/>
        <item x="11"/>
        <item x="4"/>
        <item x="5"/>
        <item x="0"/>
        <item x="6"/>
        <item x="7"/>
        <item t="default"/>
      </items>
    </pivotField>
    <pivotField showAll="0"/>
    <pivotField showAll="0"/>
    <pivotField showAll="0"/>
    <pivotField numFmtId="15" showAll="0">
      <items count="15">
        <item x="0"/>
        <item x="1"/>
        <item x="2"/>
        <item x="3"/>
        <item x="4"/>
        <item x="5"/>
        <item x="6"/>
        <item x="7"/>
        <item x="8"/>
        <item x="9"/>
        <item x="10"/>
        <item x="11"/>
        <item x="12"/>
        <item x="13"/>
        <item t="default"/>
      </items>
    </pivotField>
    <pivotField dataField="1" numFmtId="43" showAll="0"/>
    <pivotField showAll="0" defaultSubtotal="0">
      <items count="6">
        <item x="0"/>
        <item x="1"/>
        <item x="2"/>
        <item x="3"/>
        <item x="4"/>
        <item x="5"/>
      </items>
    </pivotField>
    <pivotField showAll="0" defaultSubtotal="0">
      <items count="4">
        <item x="0"/>
        <item x="1"/>
        <item x="2"/>
        <item x="3"/>
      </items>
    </pivotField>
  </pivotFields>
  <rowFields count="1">
    <field x="0"/>
  </rowFields>
  <rowItems count="13">
    <i>
      <x/>
    </i>
    <i>
      <x v="1"/>
    </i>
    <i>
      <x v="2"/>
    </i>
    <i>
      <x v="3"/>
    </i>
    <i>
      <x v="4"/>
    </i>
    <i>
      <x v="5"/>
    </i>
    <i>
      <x v="6"/>
    </i>
    <i>
      <x v="7"/>
    </i>
    <i>
      <x v="8"/>
    </i>
    <i>
      <x v="9"/>
    </i>
    <i>
      <x v="10"/>
    </i>
    <i>
      <x v="11"/>
    </i>
    <i t="grand">
      <x/>
    </i>
  </rowItems>
  <colItems count="1">
    <i/>
  </colItems>
  <dataFields count="1">
    <dataField name="Sum of Total Sales" fld="5" baseField="0" baseItem="0" numFmtId="43"/>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9" name="PivotTable7"/>
  </pivotTables>
  <data>
    <tabular pivotCacheId="1">
      <items count="12">
        <i x="10" s="1"/>
        <i x="9" s="1"/>
        <i x="8" s="1"/>
        <i x="1" s="1"/>
        <i x="2" s="1"/>
        <i x="3" s="1"/>
        <i x="11" s="1"/>
        <i x="4" s="1"/>
        <i x="5" s="1"/>
        <i x="0"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9" name="PivotTable7"/>
  </pivotTables>
  <data>
    <tabular pivotCacheId="1">
      <items count="5">
        <i x="3" s="1"/>
        <i x="1"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7"/>
  </pivotTables>
  <data>
    <tabular pivotCacheId="1">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 sourceName="Customer">
  <pivotTables>
    <pivotTable tabId="9" name="PivotTable7"/>
  </pivotTables>
  <data>
    <tabular pivotCacheId="1">
      <items count="5">
        <i x="2" s="1"/>
        <i x="0"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9" name="PivotTable7"/>
  </pivotTables>
  <data>
    <tabular pivotCacheId="1">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otal_Sales" sourceName="Total Sales">
  <pivotTables>
    <pivotTable tabId="9" name="PivotTable7"/>
  </pivotTables>
  <data>
    <tabular pivotCacheId="1">
      <items count="80">
        <i x="49" s="1"/>
        <i x="66" s="1"/>
        <i x="69" s="1"/>
        <i x="56" s="1"/>
        <i x="71" s="1"/>
        <i x="68" s="1"/>
        <i x="29" s="1"/>
        <i x="22" s="1"/>
        <i x="52" s="1"/>
        <i x="3" s="1"/>
        <i x="2" s="1"/>
        <i x="35" s="1"/>
        <i x="44" s="1"/>
        <i x="1" s="1"/>
        <i x="27" s="1"/>
        <i x="6" s="1"/>
        <i x="37" s="1"/>
        <i x="63" s="1"/>
        <i x="14" s="1"/>
        <i x="4" s="1"/>
        <i x="58" s="1"/>
        <i x="30" s="1"/>
        <i x="54" s="1"/>
        <i x="28" s="1"/>
        <i x="64" s="1"/>
        <i x="39" s="1"/>
        <i x="76" s="1"/>
        <i x="33" s="1"/>
        <i x="36" s="1"/>
        <i x="11" s="1"/>
        <i x="78" s="1"/>
        <i x="73" s="1"/>
        <i x="57" s="1"/>
        <i x="17" s="1"/>
        <i x="7" s="1"/>
        <i x="10" s="1"/>
        <i x="48" s="1"/>
        <i x="12" s="1"/>
        <i x="50" s="1"/>
        <i x="8" s="1"/>
        <i x="34" s="1"/>
        <i x="53" s="1"/>
        <i x="13" s="1"/>
        <i x="60" s="1"/>
        <i x="47" s="1"/>
        <i x="77" s="1"/>
        <i x="18" s="1"/>
        <i x="79" s="1"/>
        <i x="59" s="1"/>
        <i x="0" s="1"/>
        <i x="31" s="1"/>
        <i x="74" s="1"/>
        <i x="67" s="1"/>
        <i x="61" s="1"/>
        <i x="23" s="1"/>
        <i x="21" s="1"/>
        <i x="24" s="1"/>
        <i x="9" s="1"/>
        <i x="16" s="1"/>
        <i x="15" s="1"/>
        <i x="25" s="1"/>
        <i x="51" s="1"/>
        <i x="20" s="1"/>
        <i x="26" s="1"/>
        <i x="42" s="1"/>
        <i x="46" s="1"/>
        <i x="70" s="1"/>
        <i x="45" s="1"/>
        <i x="38" s="1"/>
        <i x="19" s="1"/>
        <i x="32" s="1"/>
        <i x="72" s="1"/>
        <i x="5" s="1"/>
        <i x="40" s="1"/>
        <i x="65" s="1"/>
        <i x="55" s="1"/>
        <i x="43" s="1"/>
        <i x="41" s="1"/>
        <i x="62" s="1"/>
        <i x="7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09550"/>
  <slicer name="Product Category" cache="Slicer_Product_Category" caption="Product Category" rowHeight="209550"/>
  <slicer name="Region" cache="Slicer_Region" caption="Region" rowHeight="209550"/>
  <slicer name="Customer" cache="Slicer_Customer" caption="Customer" rowHeight="209550"/>
  <slicer name="Date" cache="Slicer_Date" caption="Date" rowHeight="209550"/>
  <slicer name="Total Sales" cache="Slicer_Total_Sales" caption="Total Sales" startItem="8"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AO918"/>
  <sheetViews>
    <sheetView topLeftCell="B8" workbookViewId="0">
      <selection activeCell="B8" sqref="B8:G917"/>
    </sheetView>
  </sheetViews>
  <sheetFormatPr defaultColWidth="0" defaultRowHeight="14.25" x14ac:dyDescent="0.25"/>
  <cols>
    <col min="1" max="1" width="3.1640625" style="1" customWidth="1"/>
    <col min="2" max="2" width="25.83203125" style="5" customWidth="1"/>
    <col min="3" max="3" width="31.33203125" style="5" customWidth="1"/>
    <col min="4" max="4" width="14.6640625" style="5" bestFit="1" customWidth="1"/>
    <col min="5" max="5" width="19.33203125" style="5" bestFit="1" customWidth="1"/>
    <col min="6" max="6" width="13.83203125" style="17" bestFit="1" customWidth="1"/>
    <col min="7" max="7" width="14.1640625" style="15" customWidth="1"/>
    <col min="8" max="8" width="13.5" style="18" customWidth="1"/>
    <col min="9" max="10" width="18.83203125" style="16" customWidth="1"/>
    <col min="11" max="11" width="19.1640625" style="16" hidden="1" customWidth="1"/>
    <col min="12" max="12" width="22.6640625" style="16" hidden="1" customWidth="1"/>
    <col min="13" max="13" width="25.83203125" style="16" hidden="1" customWidth="1"/>
    <col min="14" max="14" width="11.1640625" style="16" hidden="1" customWidth="1"/>
    <col min="15" max="15" width="13.83203125" style="16" hidden="1" customWidth="1"/>
    <col min="16" max="16" width="19" style="16" hidden="1" customWidth="1"/>
    <col min="17" max="17" width="18.33203125" style="16" hidden="1" customWidth="1"/>
    <col min="18" max="18" width="18.6640625" style="16" hidden="1" customWidth="1"/>
    <col min="19" max="19" width="12.1640625" style="16" hidden="1" customWidth="1"/>
    <col min="20" max="20" width="13.1640625" style="16" hidden="1" customWidth="1"/>
    <col min="21" max="33" width="14.5" style="16" hidden="1" customWidth="1"/>
    <col min="34" max="34" width="81.33203125" style="5" hidden="1" customWidth="1"/>
    <col min="35" max="35" width="19.33203125" style="5" hidden="1" customWidth="1"/>
    <col min="36" max="40" width="12.83203125" style="5" hidden="1" customWidth="1"/>
    <col min="41" max="41" width="10" style="5" hidden="1" customWidth="1"/>
    <col min="42" max="16384" width="21" style="5" hidden="1"/>
  </cols>
  <sheetData>
    <row r="2" spans="1:41" s="20" customFormat="1" x14ac:dyDescent="0.25">
      <c r="A2" s="1"/>
      <c r="F2" s="21"/>
      <c r="G2" s="22"/>
      <c r="H2" s="23"/>
      <c r="I2" s="24"/>
      <c r="J2" s="24"/>
      <c r="K2" s="24"/>
      <c r="L2" s="24"/>
      <c r="M2" s="24"/>
      <c r="N2" s="24"/>
      <c r="O2" s="24"/>
      <c r="P2" s="24"/>
      <c r="Q2" s="24"/>
      <c r="R2" s="24"/>
      <c r="S2" s="24"/>
      <c r="T2" s="24"/>
      <c r="U2" s="24"/>
      <c r="V2" s="24"/>
      <c r="W2" s="24"/>
      <c r="X2" s="24"/>
      <c r="Y2" s="24"/>
      <c r="Z2" s="24"/>
      <c r="AA2" s="24"/>
      <c r="AB2" s="24"/>
      <c r="AC2" s="24"/>
      <c r="AD2" s="24"/>
      <c r="AE2" s="24"/>
      <c r="AF2" s="24"/>
      <c r="AG2" s="24"/>
    </row>
    <row r="3" spans="1:41" s="20" customFormat="1" x14ac:dyDescent="0.25">
      <c r="A3" s="1"/>
      <c r="F3" s="21"/>
      <c r="G3" s="22"/>
      <c r="H3" s="23"/>
      <c r="I3" s="24"/>
      <c r="J3" s="24"/>
      <c r="K3" s="24"/>
      <c r="L3" s="24"/>
      <c r="M3" s="24"/>
      <c r="N3" s="24"/>
      <c r="O3" s="24"/>
      <c r="P3" s="24"/>
      <c r="Q3" s="24"/>
      <c r="R3" s="24"/>
      <c r="S3" s="24"/>
      <c r="T3" s="24"/>
      <c r="U3" s="24"/>
      <c r="V3" s="24"/>
      <c r="W3" s="24"/>
      <c r="X3" s="24"/>
      <c r="Y3" s="24"/>
      <c r="Z3" s="24"/>
      <c r="AA3" s="24"/>
      <c r="AB3" s="24"/>
      <c r="AC3" s="24"/>
      <c r="AD3" s="24"/>
      <c r="AE3" s="24"/>
      <c r="AF3" s="24"/>
      <c r="AG3" s="24"/>
    </row>
    <row r="4" spans="1:41" s="20" customFormat="1" ht="17.25" x14ac:dyDescent="0.3">
      <c r="A4" s="1"/>
      <c r="B4" s="25" t="s">
        <v>0</v>
      </c>
      <c r="F4" s="21"/>
      <c r="G4" s="22"/>
      <c r="H4" s="23"/>
      <c r="I4" s="24"/>
      <c r="J4" s="24"/>
      <c r="K4" s="24"/>
      <c r="L4" s="24"/>
      <c r="M4" s="26"/>
      <c r="N4" s="24"/>
      <c r="O4" s="24"/>
      <c r="P4" s="24"/>
      <c r="Q4" s="24"/>
      <c r="R4" s="24"/>
      <c r="S4" s="24"/>
      <c r="T4" s="24"/>
      <c r="U4" s="24"/>
      <c r="V4" s="24"/>
      <c r="W4" s="24"/>
      <c r="X4" s="24"/>
      <c r="Y4" s="24"/>
      <c r="Z4" s="24"/>
      <c r="AA4" s="24"/>
      <c r="AB4" s="24"/>
      <c r="AC4" s="24"/>
      <c r="AD4" s="24"/>
      <c r="AE4" s="24"/>
      <c r="AF4" s="24"/>
      <c r="AG4" s="24"/>
    </row>
    <row r="6" spans="1:41" x14ac:dyDescent="0.25">
      <c r="B6" s="46" t="s">
        <v>33</v>
      </c>
      <c r="C6" s="46"/>
      <c r="D6" s="46"/>
      <c r="E6" s="46"/>
      <c r="F6" s="46"/>
      <c r="G6" s="46"/>
      <c r="H6" s="46"/>
      <c r="I6" s="46"/>
      <c r="J6" s="19"/>
      <c r="K6" s="2"/>
      <c r="L6" s="2"/>
      <c r="M6" s="2"/>
      <c r="N6" s="2"/>
      <c r="O6" s="2"/>
      <c r="P6" s="2"/>
      <c r="Q6" s="2"/>
      <c r="R6" s="2"/>
      <c r="S6" s="2"/>
      <c r="T6" s="2"/>
      <c r="U6" s="2"/>
      <c r="V6" s="2"/>
      <c r="W6" s="2"/>
      <c r="X6" s="2"/>
      <c r="Y6" s="2"/>
      <c r="Z6" s="2"/>
      <c r="AA6" s="2"/>
      <c r="AB6" s="2"/>
      <c r="AC6" s="2"/>
      <c r="AD6" s="2"/>
      <c r="AE6" s="2"/>
      <c r="AF6" s="2"/>
      <c r="AG6" s="2"/>
      <c r="AH6" s="3"/>
      <c r="AI6" s="4" t="s">
        <v>20</v>
      </c>
      <c r="AJ6" s="5">
        <f>SUMIFS($H:$H,$B:$B,$AI6,$C:$C,#REF!)</f>
        <v>0</v>
      </c>
      <c r="AK6" s="5">
        <f>SUMIFS($H:$H,$B:$B,$AI6,$C:$C,#REF!)</f>
        <v>0</v>
      </c>
      <c r="AL6" s="5">
        <f>SUMIFS($H:$H,$B:$B,$AI6,$C:$C,#REF!)</f>
        <v>0</v>
      </c>
      <c r="AM6" s="5">
        <f>SUMIFS($H:$H,$B:$B,$AI6,$C:$C,#REF!)</f>
        <v>0</v>
      </c>
      <c r="AN6" s="5">
        <f>SUMIFS($H:$H,$B:$B,$AI6,$C:$C,#REF!)</f>
        <v>0</v>
      </c>
      <c r="AO6" s="6">
        <f>SUM(AJ6:AN6)</f>
        <v>0</v>
      </c>
    </row>
    <row r="7" spans="1:41" customFormat="1" ht="12" x14ac:dyDescent="0.2"/>
    <row r="8" spans="1:41" x14ac:dyDescent="0.25">
      <c r="B8" s="27" t="s">
        <v>1</v>
      </c>
      <c r="C8" s="27" t="s">
        <v>23</v>
      </c>
      <c r="D8" s="27" t="s">
        <v>2</v>
      </c>
      <c r="E8" s="27" t="s">
        <v>3</v>
      </c>
      <c r="F8" s="28" t="s">
        <v>4</v>
      </c>
      <c r="G8" s="29" t="s">
        <v>5</v>
      </c>
      <c r="H8" s="7"/>
      <c r="I8" s="7"/>
      <c r="J8" s="7"/>
      <c r="K8" s="8"/>
      <c r="L8" s="3"/>
      <c r="M8" s="3"/>
      <c r="N8" s="3"/>
      <c r="O8" s="3"/>
      <c r="P8" s="3"/>
      <c r="Q8" s="3"/>
      <c r="R8" s="3"/>
      <c r="S8" s="7"/>
      <c r="T8" s="7"/>
      <c r="U8" s="7"/>
      <c r="V8" s="7"/>
      <c r="W8" s="7"/>
      <c r="X8" s="7"/>
      <c r="Y8" s="7"/>
      <c r="Z8" s="7"/>
      <c r="AA8" s="7"/>
      <c r="AB8" s="7"/>
      <c r="AC8" s="7"/>
      <c r="AD8" s="7"/>
      <c r="AE8" s="7"/>
      <c r="AF8" s="3"/>
      <c r="AG8" s="4" t="s">
        <v>10</v>
      </c>
      <c r="AH8" s="5">
        <f>SUMIFS($H:$H,$B:$B,$AG8,$C:$C,#REF!)</f>
        <v>0</v>
      </c>
      <c r="AI8" s="5">
        <f>SUMIFS($H:$H,$B:$B,$AG8,$C:$C,#REF!)</f>
        <v>0</v>
      </c>
      <c r="AJ8" s="5">
        <f>SUMIFS($H:$H,$B:$B,$AG8,$C:$C,#REF!)</f>
        <v>0</v>
      </c>
      <c r="AK8" s="5">
        <f>SUMIFS($H:$H,$B:$B,$AG8,$C:$C,#REF!)</f>
        <v>0</v>
      </c>
      <c r="AL8" s="5">
        <f>SUMIFS($H:$H,$B:$B,$AG8,$C:$C,#REF!)</f>
        <v>0</v>
      </c>
      <c r="AM8" s="6">
        <f t="shared" ref="AM8:AM18" si="0">SUM(AH8:AL8)</f>
        <v>0</v>
      </c>
    </row>
    <row r="9" spans="1:41" x14ac:dyDescent="0.25">
      <c r="B9" s="30" t="s">
        <v>14</v>
      </c>
      <c r="C9" s="31" t="s">
        <v>34</v>
      </c>
      <c r="D9" s="31" t="s">
        <v>7</v>
      </c>
      <c r="E9" s="31" t="s">
        <v>28</v>
      </c>
      <c r="F9" s="32">
        <v>43106</v>
      </c>
      <c r="G9" s="42">
        <v>3068.5499999999997</v>
      </c>
      <c r="H9" s="9"/>
      <c r="I9"/>
      <c r="J9"/>
      <c r="K9" s="3"/>
      <c r="L9" s="3"/>
      <c r="M9" s="3"/>
      <c r="N9" s="3"/>
      <c r="O9" s="3"/>
      <c r="P9" s="3"/>
      <c r="Q9" s="3"/>
      <c r="R9" s="3"/>
      <c r="S9" s="9"/>
      <c r="T9" s="9"/>
      <c r="U9" s="9"/>
      <c r="V9" s="9"/>
      <c r="W9" s="9"/>
      <c r="X9" s="9"/>
      <c r="Y9" s="9"/>
      <c r="Z9" s="9"/>
      <c r="AA9" s="9"/>
      <c r="AB9" s="9"/>
      <c r="AC9" s="9"/>
      <c r="AD9" s="9"/>
      <c r="AE9" s="9"/>
      <c r="AF9" s="10"/>
      <c r="AG9" s="4" t="s">
        <v>18</v>
      </c>
      <c r="AH9" s="5">
        <f>SUMIFS($H:$H,$B:$B,$AG9,$C:$C,#REF!)</f>
        <v>0</v>
      </c>
      <c r="AI9" s="5">
        <f>SUMIFS($H:$H,$B:$B,$AG9,$C:$C,#REF!)</f>
        <v>0</v>
      </c>
      <c r="AJ9" s="5">
        <f>SUMIFS($H:$H,$B:$B,$AG9,$C:$C,#REF!)</f>
        <v>0</v>
      </c>
      <c r="AK9" s="5">
        <f>SUMIFS($H:$H,$B:$B,$AG9,$C:$C,#REF!)</f>
        <v>0</v>
      </c>
      <c r="AL9" s="5">
        <f>SUMIFS($H:$H,$B:$B,$AG9,$C:$C,#REF!)</f>
        <v>0</v>
      </c>
      <c r="AM9" s="6">
        <f t="shared" si="0"/>
        <v>0</v>
      </c>
    </row>
    <row r="10" spans="1:41" x14ac:dyDescent="0.25">
      <c r="B10" s="33" t="s">
        <v>17</v>
      </c>
      <c r="C10" s="34" t="s">
        <v>27</v>
      </c>
      <c r="D10" s="34" t="s">
        <v>9</v>
      </c>
      <c r="E10" s="34" t="s">
        <v>29</v>
      </c>
      <c r="F10" s="35">
        <v>43106</v>
      </c>
      <c r="G10" s="43">
        <v>681.9</v>
      </c>
      <c r="H10" s="9"/>
      <c r="I10"/>
      <c r="J10"/>
      <c r="K10" s="8"/>
      <c r="L10" s="3"/>
      <c r="M10" s="11"/>
      <c r="N10" s="11"/>
      <c r="O10" s="11"/>
      <c r="P10" s="11"/>
      <c r="Q10" s="11"/>
      <c r="R10" s="11"/>
      <c r="S10" s="9"/>
      <c r="T10" s="9"/>
      <c r="U10" s="9"/>
      <c r="V10" s="9"/>
      <c r="W10" s="9"/>
      <c r="X10" s="9"/>
      <c r="Y10" s="9"/>
      <c r="Z10" s="9"/>
      <c r="AA10" s="9"/>
      <c r="AB10" s="9"/>
      <c r="AC10" s="9"/>
      <c r="AD10" s="9"/>
      <c r="AE10" s="9"/>
      <c r="AF10" s="10"/>
      <c r="AG10" s="4" t="s">
        <v>19</v>
      </c>
      <c r="AH10" s="5">
        <f>SUMIFS($H:$H,$B:$B,$AG10,$C:$C,#REF!)</f>
        <v>0</v>
      </c>
      <c r="AI10" s="5">
        <f>SUMIFS($H:$H,$B:$B,$AG10,$C:$C,#REF!)</f>
        <v>0</v>
      </c>
      <c r="AJ10" s="5">
        <f>SUMIFS($H:$H,$B:$B,$AG10,$C:$C,#REF!)</f>
        <v>0</v>
      </c>
      <c r="AK10" s="5">
        <f>SUMIFS($H:$H,$B:$B,$AG10,$C:$C,#REF!)</f>
        <v>0</v>
      </c>
      <c r="AL10" s="5">
        <f>SUMIFS($H:$H,$B:$B,$AG10,$C:$C,#REF!)</f>
        <v>0</v>
      </c>
      <c r="AM10" s="6">
        <f t="shared" si="0"/>
        <v>0</v>
      </c>
    </row>
    <row r="11" spans="1:41" x14ac:dyDescent="0.25">
      <c r="B11" s="36" t="s">
        <v>10</v>
      </c>
      <c r="C11" s="37" t="s">
        <v>24</v>
      </c>
      <c r="D11" s="37" t="s">
        <v>8</v>
      </c>
      <c r="E11" s="37" t="s">
        <v>30</v>
      </c>
      <c r="F11" s="38">
        <v>43107</v>
      </c>
      <c r="G11" s="44">
        <v>559.92999999999995</v>
      </c>
      <c r="H11" s="9"/>
      <c r="I11"/>
      <c r="J11"/>
      <c r="K11"/>
      <c r="L11"/>
      <c r="M11"/>
      <c r="N11" s="11"/>
      <c r="O11" s="11"/>
      <c r="P11" s="11"/>
      <c r="Q11" s="11"/>
      <c r="R11" s="11"/>
      <c r="S11" s="9"/>
      <c r="T11" s="9"/>
      <c r="U11" s="9"/>
      <c r="V11" s="9"/>
      <c r="W11" s="9"/>
      <c r="X11" s="9"/>
      <c r="Y11" s="9"/>
      <c r="Z11" s="9"/>
      <c r="AA11" s="9"/>
      <c r="AB11" s="9"/>
      <c r="AC11" s="9"/>
      <c r="AD11" s="9"/>
      <c r="AE11" s="9"/>
      <c r="AF11" s="10"/>
      <c r="AG11" s="4" t="s">
        <v>16</v>
      </c>
      <c r="AH11" s="5">
        <f>SUMIFS($H:$H,$B:$B,$AG11,$C:$C,#REF!)</f>
        <v>0</v>
      </c>
      <c r="AI11" s="5">
        <f>SUMIFS($H:$H,$B:$B,$AG11,$C:$C,#REF!)</f>
        <v>0</v>
      </c>
      <c r="AJ11" s="5">
        <f>SUMIFS($H:$H,$B:$B,$AG11,$C:$C,#REF!)</f>
        <v>0</v>
      </c>
      <c r="AK11" s="5">
        <f>SUMIFS($H:$H,$B:$B,$AG11,$C:$C,#REF!)</f>
        <v>0</v>
      </c>
      <c r="AL11" s="5">
        <f>SUMIFS($H:$H,$B:$B,$AG11,$C:$C,#REF!)</f>
        <v>0</v>
      </c>
      <c r="AM11" s="6">
        <f t="shared" si="0"/>
        <v>0</v>
      </c>
    </row>
    <row r="12" spans="1:41" x14ac:dyDescent="0.25">
      <c r="B12" s="33" t="s">
        <v>17</v>
      </c>
      <c r="C12" s="34" t="s">
        <v>25</v>
      </c>
      <c r="D12" s="34" t="s">
        <v>9</v>
      </c>
      <c r="E12" s="34" t="s">
        <v>30</v>
      </c>
      <c r="F12" s="35">
        <v>43108</v>
      </c>
      <c r="G12" s="43">
        <v>506.84999999999997</v>
      </c>
      <c r="H12" s="9"/>
      <c r="I12"/>
      <c r="J12"/>
      <c r="K12"/>
      <c r="L12"/>
      <c r="M12"/>
      <c r="N12" s="11"/>
      <c r="O12" s="11"/>
      <c r="P12" s="11"/>
      <c r="Q12" s="11"/>
      <c r="R12" s="11"/>
      <c r="S12" s="9"/>
      <c r="T12" s="9"/>
      <c r="U12" s="9"/>
      <c r="V12" s="9"/>
      <c r="W12" s="9"/>
      <c r="X12" s="9"/>
      <c r="Y12" s="9"/>
      <c r="Z12" s="9"/>
      <c r="AA12" s="9"/>
      <c r="AB12" s="9"/>
      <c r="AC12" s="9"/>
      <c r="AD12" s="9"/>
      <c r="AE12" s="9"/>
      <c r="AF12" s="10"/>
      <c r="AG12" s="4" t="s">
        <v>15</v>
      </c>
      <c r="AH12" s="5">
        <f>SUMIFS($H:$H,$B:$B,$AG12,$C:$C,#REF!)</f>
        <v>0</v>
      </c>
      <c r="AI12" s="5">
        <f>SUMIFS($H:$H,$B:$B,$AG12,$C:$C,#REF!)</f>
        <v>0</v>
      </c>
      <c r="AJ12" s="5">
        <f>SUMIFS($H:$H,$B:$B,$AG12,$C:$C,#REF!)</f>
        <v>0</v>
      </c>
      <c r="AK12" s="5">
        <f>SUMIFS($H:$H,$B:$B,$AG12,$C:$C,#REF!)</f>
        <v>0</v>
      </c>
      <c r="AL12" s="5">
        <f>SUMIFS($H:$H,$B:$B,$AG12,$C:$C,#REF!)</f>
        <v>0</v>
      </c>
      <c r="AM12" s="6">
        <f t="shared" si="0"/>
        <v>0</v>
      </c>
    </row>
    <row r="13" spans="1:41" x14ac:dyDescent="0.25">
      <c r="B13" s="36" t="s">
        <v>11</v>
      </c>
      <c r="C13" s="37" t="s">
        <v>24</v>
      </c>
      <c r="D13" s="37" t="s">
        <v>9</v>
      </c>
      <c r="E13" s="37" t="s">
        <v>28</v>
      </c>
      <c r="F13" s="38">
        <v>43108</v>
      </c>
      <c r="G13" s="44">
        <v>959.87999999999988</v>
      </c>
      <c r="H13" s="9"/>
      <c r="I13"/>
      <c r="J13"/>
      <c r="K13"/>
      <c r="L13"/>
      <c r="M13"/>
      <c r="N13" s="11"/>
      <c r="O13" s="11"/>
      <c r="P13" s="11"/>
      <c r="Q13" s="11"/>
      <c r="R13" s="11"/>
      <c r="S13" s="9"/>
      <c r="T13" s="9"/>
      <c r="U13" s="9"/>
      <c r="V13" s="9"/>
      <c r="W13" s="9"/>
      <c r="X13" s="9"/>
      <c r="Y13" s="9"/>
      <c r="Z13" s="9"/>
      <c r="AA13" s="9"/>
      <c r="AB13" s="9"/>
      <c r="AC13" s="9"/>
      <c r="AD13" s="9"/>
      <c r="AE13" s="9"/>
      <c r="AF13" s="10"/>
      <c r="AG13" s="4" t="s">
        <v>13</v>
      </c>
      <c r="AH13" s="5">
        <f>SUMIFS($H:$H,$B:$B,$AG13,$C:$C,#REF!)</f>
        <v>0</v>
      </c>
      <c r="AI13" s="5">
        <f>SUMIFS($H:$H,$B:$B,$AG13,$C:$C,#REF!)</f>
        <v>0</v>
      </c>
      <c r="AJ13" s="5">
        <f>SUMIFS($H:$H,$B:$B,$AG13,$C:$C,#REF!)</f>
        <v>0</v>
      </c>
      <c r="AK13" s="5">
        <f>SUMIFS($H:$H,$B:$B,$AG13,$C:$C,#REF!)</f>
        <v>0</v>
      </c>
      <c r="AL13" s="5">
        <f>SUMIFS($H:$H,$B:$B,$AG13,$C:$C,#REF!)</f>
        <v>0</v>
      </c>
      <c r="AM13" s="6">
        <f t="shared" si="0"/>
        <v>0</v>
      </c>
    </row>
    <row r="14" spans="1:41" x14ac:dyDescent="0.25">
      <c r="B14" s="33" t="s">
        <v>12</v>
      </c>
      <c r="C14" s="34" t="s">
        <v>26</v>
      </c>
      <c r="D14" s="34" t="s">
        <v>22</v>
      </c>
      <c r="E14" s="34" t="s">
        <v>30</v>
      </c>
      <c r="F14" s="35">
        <v>43110</v>
      </c>
      <c r="G14" s="43">
        <v>10399.35</v>
      </c>
      <c r="H14" s="9"/>
      <c r="I14"/>
      <c r="J14"/>
      <c r="K14"/>
      <c r="L14"/>
      <c r="M14"/>
      <c r="N14" s="11"/>
      <c r="O14" s="11"/>
      <c r="P14" s="11"/>
      <c r="Q14" s="11"/>
      <c r="R14" s="11"/>
      <c r="S14" s="9"/>
      <c r="T14" s="9"/>
      <c r="U14" s="9"/>
      <c r="V14" s="9"/>
      <c r="W14" s="9"/>
      <c r="X14" s="9"/>
      <c r="Y14" s="9"/>
      <c r="Z14" s="9"/>
      <c r="AA14" s="9"/>
      <c r="AB14" s="9"/>
      <c r="AC14" s="9"/>
      <c r="AD14" s="9"/>
      <c r="AE14" s="9"/>
      <c r="AF14" s="10"/>
      <c r="AG14" s="4" t="s">
        <v>21</v>
      </c>
      <c r="AH14" s="5">
        <f>SUMIFS($H:$H,$B:$B,$AG14,$C:$C,#REF!)</f>
        <v>0</v>
      </c>
      <c r="AI14" s="5">
        <f>SUMIFS($H:$H,$B:$B,$AG14,$C:$C,#REF!)</f>
        <v>0</v>
      </c>
      <c r="AJ14" s="5">
        <f>SUMIFS($H:$H,$B:$B,$AG14,$C:$C,#REF!)</f>
        <v>0</v>
      </c>
      <c r="AK14" s="5">
        <f>SUMIFS($H:$H,$B:$B,$AG14,$C:$C,#REF!)</f>
        <v>0</v>
      </c>
      <c r="AL14" s="5">
        <f>SUMIFS($H:$H,$B:$B,$AG14,$C:$C,#REF!)</f>
        <v>0</v>
      </c>
      <c r="AM14" s="6">
        <f t="shared" si="0"/>
        <v>0</v>
      </c>
    </row>
    <row r="15" spans="1:41" x14ac:dyDescent="0.25">
      <c r="B15" s="36" t="s">
        <v>13</v>
      </c>
      <c r="C15" s="37" t="s">
        <v>24</v>
      </c>
      <c r="D15" s="37" t="s">
        <v>7</v>
      </c>
      <c r="E15" s="37" t="s">
        <v>29</v>
      </c>
      <c r="F15" s="38">
        <v>43111</v>
      </c>
      <c r="G15" s="44">
        <v>799.9</v>
      </c>
      <c r="H15" s="9"/>
      <c r="I15"/>
      <c r="J15"/>
      <c r="K15"/>
      <c r="L15"/>
      <c r="M15"/>
      <c r="N15" s="11"/>
      <c r="O15" s="11"/>
      <c r="P15" s="11"/>
      <c r="Q15" s="11"/>
      <c r="R15" s="11"/>
      <c r="S15" s="9"/>
      <c r="T15" s="9"/>
      <c r="U15" s="9"/>
      <c r="V15" s="9"/>
      <c r="W15" s="9"/>
      <c r="X15" s="9"/>
      <c r="Y15" s="9"/>
      <c r="Z15" s="9"/>
      <c r="AA15" s="9"/>
      <c r="AB15" s="9"/>
      <c r="AC15" s="9"/>
      <c r="AD15" s="9"/>
      <c r="AE15" s="9"/>
      <c r="AF15" s="10"/>
      <c r="AG15" s="4" t="s">
        <v>17</v>
      </c>
      <c r="AH15" s="5">
        <f>SUMIFS($H:$H,$B:$B,$AG15,$C:$C,#REF!)</f>
        <v>0</v>
      </c>
      <c r="AI15" s="5">
        <f>SUMIFS($H:$H,$B:$B,$AG15,$C:$C,#REF!)</f>
        <v>0</v>
      </c>
      <c r="AJ15" s="5">
        <f>SUMIFS($H:$H,$B:$B,$AG15,$C:$C,#REF!)</f>
        <v>0</v>
      </c>
      <c r="AK15" s="5">
        <f>SUMIFS($H:$H,$B:$B,$AG15,$C:$C,#REF!)</f>
        <v>0</v>
      </c>
      <c r="AL15" s="5">
        <f>SUMIFS($H:$H,$B:$B,$AG15,$C:$C,#REF!)</f>
        <v>0</v>
      </c>
      <c r="AM15" s="6">
        <f t="shared" si="0"/>
        <v>0</v>
      </c>
    </row>
    <row r="16" spans="1:41" x14ac:dyDescent="0.25">
      <c r="B16" s="33" t="s">
        <v>17</v>
      </c>
      <c r="C16" s="34" t="s">
        <v>26</v>
      </c>
      <c r="D16" s="34" t="s">
        <v>9</v>
      </c>
      <c r="E16" s="34" t="s">
        <v>29</v>
      </c>
      <c r="F16" s="35">
        <v>43111</v>
      </c>
      <c r="G16" s="43">
        <v>1599.9</v>
      </c>
      <c r="H16" s="9"/>
      <c r="I16"/>
      <c r="J16"/>
      <c r="K16"/>
      <c r="L16"/>
      <c r="M16"/>
      <c r="N16" s="11"/>
      <c r="O16" s="11"/>
      <c r="P16" s="11"/>
      <c r="Q16" s="11"/>
      <c r="R16" s="11"/>
      <c r="S16" s="9"/>
      <c r="T16" s="9"/>
      <c r="U16" s="9"/>
      <c r="V16" s="9"/>
      <c r="W16" s="9"/>
      <c r="X16" s="9"/>
      <c r="Y16" s="9"/>
      <c r="Z16" s="9"/>
      <c r="AA16" s="9"/>
      <c r="AB16" s="9"/>
      <c r="AC16" s="9"/>
      <c r="AD16" s="9"/>
      <c r="AE16" s="9"/>
      <c r="AF16" s="10"/>
      <c r="AG16" s="4" t="s">
        <v>12</v>
      </c>
      <c r="AH16" s="5">
        <f>SUMIFS($H:$H,$B:$B,$AG16,$C:$C,#REF!)</f>
        <v>0</v>
      </c>
      <c r="AI16" s="5">
        <f>SUMIFS($H:$H,$B:$B,$AG16,$C:$C,#REF!)</f>
        <v>0</v>
      </c>
      <c r="AJ16" s="5">
        <f>SUMIFS($H:$H,$B:$B,$AG16,$C:$C,#REF!)</f>
        <v>0</v>
      </c>
      <c r="AK16" s="5">
        <f>SUMIFS($H:$H,$B:$B,$AG16,$C:$C,#REF!)</f>
        <v>0</v>
      </c>
      <c r="AL16" s="5">
        <f>SUMIFS($H:$H,$B:$B,$AG16,$C:$C,#REF!)</f>
        <v>0</v>
      </c>
      <c r="AM16" s="6">
        <f t="shared" si="0"/>
        <v>0</v>
      </c>
    </row>
    <row r="17" spans="2:39" x14ac:dyDescent="0.25">
      <c r="B17" s="36" t="s">
        <v>17</v>
      </c>
      <c r="C17" s="37" t="s">
        <v>27</v>
      </c>
      <c r="D17" s="37" t="s">
        <v>9</v>
      </c>
      <c r="E17" s="37" t="s">
        <v>29</v>
      </c>
      <c r="F17" s="38">
        <v>43111</v>
      </c>
      <c r="G17" s="44">
        <v>2045.6999999999998</v>
      </c>
      <c r="H17" s="9"/>
      <c r="I17"/>
      <c r="J17"/>
      <c r="K17"/>
      <c r="L17"/>
      <c r="M17"/>
      <c r="N17" s="11"/>
      <c r="O17" s="11"/>
      <c r="P17" s="11"/>
      <c r="Q17" s="11"/>
      <c r="R17" s="11"/>
      <c r="S17" s="9"/>
      <c r="T17" s="9"/>
      <c r="U17" s="9"/>
      <c r="V17" s="9"/>
      <c r="W17" s="9"/>
      <c r="X17" s="9"/>
      <c r="Y17" s="9"/>
      <c r="Z17" s="9"/>
      <c r="AA17" s="9"/>
      <c r="AB17" s="9"/>
      <c r="AC17" s="9"/>
      <c r="AD17" s="9"/>
      <c r="AE17" s="9"/>
      <c r="AF17" s="10"/>
      <c r="AG17" s="4" t="s">
        <v>14</v>
      </c>
      <c r="AH17" s="5">
        <f>SUMIFS($H:$H,$B:$B,$AG17,$C:$C,#REF!)</f>
        <v>0</v>
      </c>
      <c r="AI17" s="5">
        <f>SUMIFS($H:$H,$B:$B,$AG17,$C:$C,#REF!)</f>
        <v>0</v>
      </c>
      <c r="AJ17" s="5">
        <f>SUMIFS($H:$H,$B:$B,$AG17,$C:$C,#REF!)</f>
        <v>0</v>
      </c>
      <c r="AK17" s="5">
        <f>SUMIFS($H:$H,$B:$B,$AG17,$C:$C,#REF!)</f>
        <v>0</v>
      </c>
      <c r="AL17" s="5">
        <f>SUMIFS($H:$H,$B:$B,$AG17,$C:$C,#REF!)</f>
        <v>0</v>
      </c>
      <c r="AM17" s="6">
        <f t="shared" si="0"/>
        <v>0</v>
      </c>
    </row>
    <row r="18" spans="2:39" x14ac:dyDescent="0.25">
      <c r="B18" s="33" t="s">
        <v>17</v>
      </c>
      <c r="C18" s="34" t="s">
        <v>27</v>
      </c>
      <c r="D18" s="34" t="s">
        <v>9</v>
      </c>
      <c r="E18" s="34" t="s">
        <v>28</v>
      </c>
      <c r="F18" s="35">
        <v>43114</v>
      </c>
      <c r="G18" s="43">
        <v>4432.3499999999995</v>
      </c>
      <c r="H18" s="9"/>
      <c r="I18"/>
      <c r="J18"/>
      <c r="K18"/>
      <c r="L18"/>
      <c r="M18"/>
      <c r="N18" s="11"/>
      <c r="O18" s="11"/>
      <c r="P18" s="11"/>
      <c r="Q18" s="11"/>
      <c r="R18" s="11"/>
      <c r="S18" s="9"/>
      <c r="T18" s="9"/>
      <c r="U18" s="9"/>
      <c r="V18" s="9"/>
      <c r="W18" s="9"/>
      <c r="X18" s="9"/>
      <c r="Y18" s="9"/>
      <c r="Z18" s="9"/>
      <c r="AA18" s="9"/>
      <c r="AB18" s="9"/>
      <c r="AC18" s="9"/>
      <c r="AD18" s="9"/>
      <c r="AE18" s="9"/>
      <c r="AF18" s="10"/>
      <c r="AG18" s="12" t="s">
        <v>6</v>
      </c>
      <c r="AH18" s="13">
        <f>SUM(AJ6:AJ17)</f>
        <v>0</v>
      </c>
      <c r="AI18" s="13">
        <f>SUM(AK6:AK17)</f>
        <v>0</v>
      </c>
      <c r="AJ18" s="13">
        <f>SUM(AL6:AL17)</f>
        <v>0</v>
      </c>
      <c r="AK18" s="13">
        <f>SUM(AM6:AM17)</f>
        <v>0</v>
      </c>
      <c r="AL18" s="13">
        <f>SUM(AN6:AN17)</f>
        <v>0</v>
      </c>
      <c r="AM18" s="13">
        <f t="shared" si="0"/>
        <v>0</v>
      </c>
    </row>
    <row r="19" spans="2:39" x14ac:dyDescent="0.25">
      <c r="B19" s="36" t="s">
        <v>11</v>
      </c>
      <c r="C19" s="37" t="s">
        <v>25</v>
      </c>
      <c r="D19" s="37" t="s">
        <v>9</v>
      </c>
      <c r="E19" s="37" t="s">
        <v>29</v>
      </c>
      <c r="F19" s="38">
        <v>43114</v>
      </c>
      <c r="G19" s="44">
        <v>1689.5</v>
      </c>
      <c r="H19" s="9"/>
      <c r="I19"/>
      <c r="J19"/>
      <c r="K19"/>
      <c r="L19"/>
      <c r="M19"/>
      <c r="N19" s="11"/>
      <c r="O19" s="11"/>
      <c r="P19" s="11"/>
      <c r="Q19" s="11"/>
      <c r="R19" s="11"/>
      <c r="S19" s="9"/>
      <c r="T19" s="9"/>
      <c r="U19" s="9"/>
      <c r="V19" s="9"/>
      <c r="W19" s="9"/>
      <c r="X19" s="9"/>
      <c r="Y19" s="9"/>
      <c r="Z19" s="9"/>
      <c r="AA19" s="9"/>
      <c r="AB19" s="9"/>
      <c r="AC19" s="9"/>
      <c r="AD19" s="9"/>
      <c r="AE19" s="9"/>
      <c r="AF19" s="10"/>
      <c r="AG19" s="5"/>
    </row>
    <row r="20" spans="2:39" x14ac:dyDescent="0.25">
      <c r="B20" s="33" t="s">
        <v>14</v>
      </c>
      <c r="C20" s="34" t="s">
        <v>27</v>
      </c>
      <c r="D20" s="34" t="s">
        <v>7</v>
      </c>
      <c r="E20" s="34" t="s">
        <v>29</v>
      </c>
      <c r="F20" s="35">
        <v>43114</v>
      </c>
      <c r="G20" s="43">
        <v>1363.8</v>
      </c>
      <c r="H20" s="9"/>
      <c r="I20"/>
      <c r="J20"/>
      <c r="K20"/>
      <c r="L20"/>
      <c r="M20"/>
      <c r="N20" s="11"/>
      <c r="O20" s="11"/>
      <c r="P20" s="11"/>
      <c r="Q20" s="11"/>
      <c r="R20" s="11"/>
      <c r="S20" s="9"/>
      <c r="T20" s="9"/>
      <c r="U20" s="9"/>
      <c r="V20" s="9"/>
      <c r="W20" s="9"/>
      <c r="X20" s="9"/>
      <c r="Y20" s="9"/>
      <c r="Z20" s="9"/>
      <c r="AA20" s="9"/>
      <c r="AB20" s="9"/>
      <c r="AC20" s="9"/>
      <c r="AD20" s="9"/>
      <c r="AE20" s="9"/>
      <c r="AF20" s="10"/>
      <c r="AG20" s="5"/>
    </row>
    <row r="21" spans="2:39" x14ac:dyDescent="0.25">
      <c r="B21" s="36" t="s">
        <v>11</v>
      </c>
      <c r="C21" s="37" t="s">
        <v>25</v>
      </c>
      <c r="D21" s="37" t="s">
        <v>9</v>
      </c>
      <c r="E21" s="37" t="s">
        <v>28</v>
      </c>
      <c r="F21" s="38">
        <v>43115</v>
      </c>
      <c r="G21" s="44">
        <v>1858.4499999999998</v>
      </c>
      <c r="H21" s="9"/>
      <c r="I21"/>
      <c r="J21"/>
      <c r="K21"/>
      <c r="L21"/>
      <c r="M21"/>
      <c r="N21" s="11"/>
      <c r="O21" s="11"/>
      <c r="P21" s="11"/>
      <c r="Q21" s="11"/>
      <c r="R21" s="11"/>
      <c r="S21" s="9"/>
      <c r="T21" s="9"/>
      <c r="U21" s="9"/>
      <c r="V21" s="9"/>
      <c r="W21" s="9"/>
      <c r="X21" s="9"/>
      <c r="Y21" s="9"/>
      <c r="Z21" s="9"/>
      <c r="AA21" s="9"/>
      <c r="AB21" s="9"/>
      <c r="AC21" s="9"/>
      <c r="AD21" s="9"/>
      <c r="AE21" s="9"/>
      <c r="AF21" s="10"/>
      <c r="AG21" s="5"/>
    </row>
    <row r="22" spans="2:39" x14ac:dyDescent="0.25">
      <c r="B22" s="33" t="s">
        <v>10</v>
      </c>
      <c r="C22" s="34" t="s">
        <v>34</v>
      </c>
      <c r="D22" s="34" t="s">
        <v>8</v>
      </c>
      <c r="E22" s="34" t="s">
        <v>28</v>
      </c>
      <c r="F22" s="35">
        <v>43115</v>
      </c>
      <c r="G22" s="43">
        <v>2386.65</v>
      </c>
      <c r="H22" s="9"/>
      <c r="I22"/>
      <c r="J22"/>
      <c r="K22"/>
      <c r="L22"/>
      <c r="M22"/>
      <c r="N22" s="11"/>
      <c r="O22" s="11"/>
      <c r="P22" s="11"/>
      <c r="Q22" s="11"/>
      <c r="R22" s="11"/>
      <c r="S22" s="9"/>
      <c r="T22" s="9"/>
      <c r="U22" s="9"/>
      <c r="V22" s="9"/>
      <c r="W22" s="9"/>
      <c r="X22" s="9"/>
      <c r="Y22" s="9"/>
      <c r="Z22" s="9"/>
      <c r="AA22" s="9"/>
      <c r="AB22" s="9"/>
      <c r="AC22" s="9"/>
      <c r="AD22" s="9"/>
      <c r="AE22" s="9"/>
      <c r="AF22" s="10"/>
      <c r="AG22" s="5"/>
    </row>
    <row r="23" spans="2:39" x14ac:dyDescent="0.25">
      <c r="B23" s="36" t="s">
        <v>11</v>
      </c>
      <c r="C23" s="37" t="s">
        <v>24</v>
      </c>
      <c r="D23" s="37" t="s">
        <v>9</v>
      </c>
      <c r="E23" s="37" t="s">
        <v>30</v>
      </c>
      <c r="F23" s="38">
        <v>43116</v>
      </c>
      <c r="G23" s="44">
        <v>879.89</v>
      </c>
      <c r="H23" s="9"/>
      <c r="I23"/>
      <c r="J23"/>
      <c r="K23"/>
      <c r="L23"/>
      <c r="M23"/>
      <c r="N23" s="11"/>
      <c r="O23" s="11"/>
      <c r="P23" s="11"/>
      <c r="Q23" s="11"/>
      <c r="R23" s="11"/>
      <c r="S23" s="9"/>
      <c r="T23" s="9"/>
      <c r="U23" s="9"/>
      <c r="V23" s="9"/>
      <c r="W23" s="9"/>
      <c r="X23" s="9"/>
      <c r="Y23" s="9"/>
      <c r="Z23" s="9"/>
      <c r="AA23" s="9"/>
      <c r="AB23" s="9"/>
      <c r="AC23" s="9"/>
      <c r="AD23" s="9"/>
      <c r="AE23" s="9"/>
      <c r="AF23" s="10"/>
      <c r="AG23" s="5"/>
    </row>
    <row r="24" spans="2:39" x14ac:dyDescent="0.25">
      <c r="B24" s="33" t="s">
        <v>13</v>
      </c>
      <c r="C24" s="34" t="s">
        <v>26</v>
      </c>
      <c r="D24" s="34" t="s">
        <v>7</v>
      </c>
      <c r="E24" s="34" t="s">
        <v>28</v>
      </c>
      <c r="F24" s="35">
        <v>43116</v>
      </c>
      <c r="G24" s="43">
        <v>4799.7000000000007</v>
      </c>
      <c r="H24" s="9"/>
      <c r="I24" s="9"/>
      <c r="J24" s="9"/>
      <c r="K24" s="3"/>
      <c r="L24" s="3"/>
      <c r="M24" s="11"/>
      <c r="N24" s="11"/>
      <c r="O24" s="11"/>
      <c r="P24" s="11"/>
      <c r="Q24" s="11"/>
      <c r="R24" s="11"/>
      <c r="S24" s="9"/>
      <c r="T24" s="9"/>
      <c r="U24" s="9"/>
      <c r="V24" s="9"/>
      <c r="W24" s="9"/>
      <c r="X24" s="9"/>
      <c r="Y24" s="9"/>
      <c r="Z24" s="9"/>
      <c r="AA24" s="9"/>
      <c r="AB24" s="9"/>
      <c r="AC24" s="9"/>
      <c r="AD24" s="9"/>
      <c r="AE24" s="9"/>
      <c r="AF24" s="10"/>
      <c r="AG24" s="5"/>
    </row>
    <row r="25" spans="2:39" x14ac:dyDescent="0.25">
      <c r="B25" s="36" t="s">
        <v>15</v>
      </c>
      <c r="C25" s="37" t="s">
        <v>34</v>
      </c>
      <c r="D25" s="37" t="s">
        <v>22</v>
      </c>
      <c r="E25" s="37" t="s">
        <v>28</v>
      </c>
      <c r="F25" s="38">
        <v>43117</v>
      </c>
      <c r="G25" s="44">
        <v>4773.3</v>
      </c>
      <c r="H25" s="9"/>
      <c r="I25" s="9"/>
      <c r="J25" s="9"/>
      <c r="K25" s="3"/>
      <c r="L25" s="3"/>
      <c r="M25" s="11"/>
      <c r="N25" s="11"/>
      <c r="O25" s="11"/>
      <c r="P25" s="11"/>
      <c r="Q25" s="11"/>
      <c r="R25" s="11"/>
      <c r="S25" s="9"/>
      <c r="T25" s="9"/>
      <c r="U25" s="9"/>
      <c r="V25" s="9"/>
      <c r="W25" s="9"/>
      <c r="X25" s="9"/>
      <c r="Y25" s="9"/>
      <c r="Z25" s="9"/>
      <c r="AA25" s="9"/>
      <c r="AB25" s="9"/>
      <c r="AC25" s="9"/>
      <c r="AD25" s="9"/>
      <c r="AE25" s="9"/>
      <c r="AF25" s="10"/>
      <c r="AG25" s="5"/>
    </row>
    <row r="26" spans="2:39" x14ac:dyDescent="0.25">
      <c r="B26" s="33" t="s">
        <v>12</v>
      </c>
      <c r="C26" s="34" t="s">
        <v>25</v>
      </c>
      <c r="D26" s="34" t="s">
        <v>22</v>
      </c>
      <c r="E26" s="34" t="s">
        <v>29</v>
      </c>
      <c r="F26" s="35">
        <v>43117</v>
      </c>
      <c r="G26" s="43">
        <v>1689.5</v>
      </c>
      <c r="H26" s="9"/>
      <c r="I26" s="9"/>
      <c r="J26" s="9"/>
      <c r="K26" s="3"/>
      <c r="L26" s="3"/>
      <c r="M26" s="11"/>
      <c r="N26" s="11"/>
      <c r="O26" s="11"/>
      <c r="P26" s="11"/>
      <c r="Q26" s="11"/>
      <c r="R26" s="11"/>
      <c r="S26" s="9"/>
      <c r="T26" s="9"/>
      <c r="U26" s="9"/>
      <c r="V26" s="9"/>
      <c r="W26" s="9"/>
      <c r="X26" s="9"/>
      <c r="Y26" s="9"/>
      <c r="Z26" s="9"/>
      <c r="AA26" s="9"/>
      <c r="AB26" s="9"/>
      <c r="AC26" s="9"/>
      <c r="AD26" s="9"/>
      <c r="AE26" s="9"/>
      <c r="AF26" s="10"/>
      <c r="AG26" s="5"/>
    </row>
    <row r="27" spans="2:39" x14ac:dyDescent="0.25">
      <c r="B27" s="36" t="s">
        <v>14</v>
      </c>
      <c r="C27" s="37" t="s">
        <v>27</v>
      </c>
      <c r="D27" s="37" t="s">
        <v>7</v>
      </c>
      <c r="E27" s="37" t="s">
        <v>30</v>
      </c>
      <c r="F27" s="38">
        <v>43122</v>
      </c>
      <c r="G27" s="44">
        <v>1363.8</v>
      </c>
      <c r="H27" s="9"/>
      <c r="I27" s="9"/>
      <c r="J27" s="9"/>
      <c r="K27" s="3"/>
      <c r="L27" s="3"/>
      <c r="M27" s="11"/>
      <c r="N27" s="11"/>
      <c r="O27" s="11"/>
      <c r="P27" s="11"/>
      <c r="Q27" s="11"/>
      <c r="R27" s="11"/>
      <c r="S27" s="9"/>
      <c r="T27" s="9"/>
      <c r="U27" s="9"/>
      <c r="V27" s="9"/>
      <c r="W27" s="9"/>
      <c r="X27" s="9"/>
      <c r="Y27" s="9"/>
      <c r="Z27" s="9"/>
      <c r="AA27" s="9"/>
      <c r="AB27" s="9"/>
      <c r="AC27" s="9"/>
      <c r="AD27" s="9"/>
      <c r="AE27" s="9"/>
      <c r="AF27" s="10"/>
      <c r="AG27" s="5"/>
    </row>
    <row r="28" spans="2:39" x14ac:dyDescent="0.25">
      <c r="B28" s="33" t="s">
        <v>15</v>
      </c>
      <c r="C28" s="34" t="s">
        <v>24</v>
      </c>
      <c r="D28" s="34" t="s">
        <v>22</v>
      </c>
      <c r="E28" s="34" t="s">
        <v>28</v>
      </c>
      <c r="F28" s="35">
        <v>43123</v>
      </c>
      <c r="G28" s="43">
        <v>1599.8</v>
      </c>
      <c r="H28" s="9"/>
      <c r="I28" s="9"/>
      <c r="J28" s="9"/>
      <c r="K28" s="3"/>
      <c r="L28" s="3"/>
      <c r="M28" s="11"/>
      <c r="N28" s="11"/>
      <c r="O28" s="11"/>
      <c r="P28" s="11"/>
      <c r="Q28" s="11"/>
      <c r="R28" s="11"/>
      <c r="S28" s="9"/>
      <c r="T28" s="9"/>
      <c r="U28" s="9"/>
      <c r="V28" s="9"/>
      <c r="W28" s="9"/>
      <c r="X28" s="9"/>
      <c r="Y28" s="9"/>
      <c r="Z28" s="9"/>
      <c r="AA28" s="9"/>
      <c r="AB28" s="9"/>
      <c r="AC28" s="9"/>
      <c r="AD28" s="9"/>
      <c r="AE28" s="9"/>
      <c r="AF28" s="10"/>
      <c r="AG28" s="5"/>
    </row>
    <row r="29" spans="2:39" x14ac:dyDescent="0.25">
      <c r="B29" s="36" t="s">
        <v>12</v>
      </c>
      <c r="C29" s="37" t="s">
        <v>27</v>
      </c>
      <c r="D29" s="37" t="s">
        <v>22</v>
      </c>
      <c r="E29" s="37" t="s">
        <v>29</v>
      </c>
      <c r="F29" s="38">
        <v>43124</v>
      </c>
      <c r="G29" s="44">
        <v>2727.6</v>
      </c>
      <c r="H29" s="9"/>
      <c r="I29" s="9"/>
      <c r="J29" s="9"/>
      <c r="K29" s="3"/>
      <c r="L29" s="3"/>
      <c r="M29" s="11"/>
      <c r="N29" s="11"/>
      <c r="O29" s="11"/>
      <c r="P29" s="11"/>
      <c r="Q29" s="11"/>
      <c r="R29" s="11"/>
      <c r="S29" s="9"/>
      <c r="T29" s="9"/>
      <c r="U29" s="9"/>
      <c r="V29" s="9"/>
      <c r="W29" s="9"/>
      <c r="X29" s="9"/>
      <c r="Y29" s="9"/>
      <c r="Z29" s="9"/>
      <c r="AA29" s="9"/>
      <c r="AB29" s="9"/>
      <c r="AC29" s="9"/>
      <c r="AD29" s="9"/>
      <c r="AE29" s="9"/>
      <c r="AF29" s="10"/>
      <c r="AG29" s="5"/>
    </row>
    <row r="30" spans="2:39" x14ac:dyDescent="0.25">
      <c r="B30" s="33" t="s">
        <v>16</v>
      </c>
      <c r="C30" s="34" t="s">
        <v>24</v>
      </c>
      <c r="D30" s="34" t="s">
        <v>7</v>
      </c>
      <c r="E30" s="34" t="s">
        <v>29</v>
      </c>
      <c r="F30" s="35">
        <v>43126</v>
      </c>
      <c r="G30" s="43">
        <v>879.89</v>
      </c>
      <c r="H30" s="9"/>
      <c r="I30" s="9"/>
      <c r="J30" s="9"/>
      <c r="K30" s="3"/>
      <c r="L30" s="3"/>
      <c r="M30" s="11"/>
      <c r="N30" s="11"/>
      <c r="O30" s="11"/>
      <c r="P30" s="11"/>
      <c r="Q30" s="11"/>
      <c r="R30" s="11"/>
      <c r="S30" s="9"/>
      <c r="T30" s="9"/>
      <c r="U30" s="9"/>
      <c r="V30" s="9"/>
      <c r="W30" s="9"/>
      <c r="X30" s="9"/>
      <c r="Y30" s="9"/>
      <c r="Z30" s="9"/>
      <c r="AA30" s="9"/>
      <c r="AB30" s="9"/>
      <c r="AC30" s="9"/>
      <c r="AD30" s="9"/>
      <c r="AE30" s="9"/>
      <c r="AF30" s="10"/>
      <c r="AG30" s="5"/>
    </row>
    <row r="31" spans="2:39" x14ac:dyDescent="0.25">
      <c r="B31" s="36" t="s">
        <v>10</v>
      </c>
      <c r="C31" s="37" t="s">
        <v>34</v>
      </c>
      <c r="D31" s="37" t="s">
        <v>8</v>
      </c>
      <c r="E31" s="37" t="s">
        <v>30</v>
      </c>
      <c r="F31" s="38">
        <v>43128</v>
      </c>
      <c r="G31" s="44">
        <v>4432.3499999999995</v>
      </c>
      <c r="H31" s="9"/>
      <c r="I31" s="9"/>
      <c r="J31" s="9"/>
      <c r="K31" s="3"/>
      <c r="L31" s="3"/>
      <c r="M31" s="3"/>
      <c r="N31" s="3"/>
      <c r="O31" s="3"/>
      <c r="P31" s="3"/>
      <c r="Q31" s="3"/>
      <c r="R31" s="3"/>
      <c r="S31" s="9"/>
      <c r="T31" s="9"/>
      <c r="U31" s="9"/>
      <c r="V31" s="9"/>
      <c r="W31" s="9"/>
      <c r="X31" s="9"/>
      <c r="Y31" s="9"/>
      <c r="Z31" s="9"/>
      <c r="AA31" s="9"/>
      <c r="AB31" s="9"/>
      <c r="AC31" s="9"/>
      <c r="AD31" s="9"/>
      <c r="AE31" s="9"/>
      <c r="AF31" s="10"/>
      <c r="AG31" s="5"/>
    </row>
    <row r="32" spans="2:39" x14ac:dyDescent="0.25">
      <c r="B32" s="33" t="s">
        <v>10</v>
      </c>
      <c r="C32" s="34" t="s">
        <v>27</v>
      </c>
      <c r="D32" s="34" t="s">
        <v>8</v>
      </c>
      <c r="E32" s="34" t="s">
        <v>28</v>
      </c>
      <c r="F32" s="35">
        <v>43128</v>
      </c>
      <c r="G32" s="43">
        <v>2386.65</v>
      </c>
      <c r="H32" s="9"/>
      <c r="I32" s="9"/>
      <c r="J32" s="9"/>
      <c r="K32" s="3"/>
      <c r="L32" s="3"/>
      <c r="M32" s="3"/>
      <c r="N32" s="3"/>
      <c r="O32" s="3"/>
      <c r="P32" s="3"/>
      <c r="Q32" s="3"/>
      <c r="R32" s="3"/>
      <c r="S32" s="9"/>
      <c r="T32" s="9"/>
      <c r="U32" s="9"/>
      <c r="V32" s="9"/>
      <c r="W32" s="9"/>
      <c r="X32" s="9"/>
      <c r="Y32" s="9"/>
      <c r="Z32" s="9"/>
      <c r="AA32" s="9"/>
      <c r="AB32" s="9"/>
      <c r="AC32" s="9"/>
      <c r="AD32" s="9"/>
      <c r="AE32" s="9"/>
      <c r="AF32" s="10"/>
      <c r="AG32" s="5"/>
    </row>
    <row r="33" spans="2:33" x14ac:dyDescent="0.25">
      <c r="B33" s="36" t="s">
        <v>16</v>
      </c>
      <c r="C33" s="37" t="s">
        <v>27</v>
      </c>
      <c r="D33" s="37" t="s">
        <v>7</v>
      </c>
      <c r="E33" s="37" t="s">
        <v>28</v>
      </c>
      <c r="F33" s="38">
        <v>43129</v>
      </c>
      <c r="G33" s="44">
        <v>2727.6</v>
      </c>
      <c r="H33" s="9"/>
      <c r="I33" s="9"/>
      <c r="J33" s="9"/>
      <c r="K33" s="3"/>
      <c r="L33" s="3"/>
      <c r="M33" s="3"/>
      <c r="N33" s="3"/>
      <c r="O33" s="3"/>
      <c r="P33" s="3"/>
      <c r="Q33" s="3"/>
      <c r="R33" s="3"/>
      <c r="S33" s="9"/>
      <c r="T33" s="9"/>
      <c r="U33" s="9"/>
      <c r="V33" s="9"/>
      <c r="W33" s="9"/>
      <c r="X33" s="9"/>
      <c r="Y33" s="9"/>
      <c r="Z33" s="9"/>
      <c r="AA33" s="9"/>
      <c r="AB33" s="9"/>
      <c r="AC33" s="9"/>
      <c r="AD33" s="9"/>
      <c r="AE33" s="9"/>
      <c r="AF33" s="10"/>
      <c r="AG33" s="5"/>
    </row>
    <row r="34" spans="2:33" x14ac:dyDescent="0.25">
      <c r="B34" s="33" t="s">
        <v>14</v>
      </c>
      <c r="C34" s="34" t="s">
        <v>26</v>
      </c>
      <c r="D34" s="34" t="s">
        <v>7</v>
      </c>
      <c r="E34" s="34" t="s">
        <v>30</v>
      </c>
      <c r="F34" s="35">
        <v>43130</v>
      </c>
      <c r="G34" s="43">
        <v>7999.5</v>
      </c>
      <c r="H34" s="9"/>
      <c r="I34" s="9"/>
      <c r="J34" s="9"/>
      <c r="K34" s="3"/>
      <c r="L34" s="3"/>
      <c r="M34" s="3"/>
      <c r="N34" s="3"/>
      <c r="O34" s="3"/>
      <c r="P34" s="3"/>
      <c r="Q34" s="3"/>
      <c r="R34" s="3"/>
      <c r="S34" s="9"/>
      <c r="T34" s="9"/>
      <c r="U34" s="9"/>
      <c r="V34" s="9"/>
      <c r="W34" s="9"/>
      <c r="X34" s="9"/>
      <c r="Y34" s="9"/>
      <c r="Z34" s="9"/>
      <c r="AA34" s="9"/>
      <c r="AB34" s="9"/>
      <c r="AC34" s="9"/>
      <c r="AD34" s="9"/>
      <c r="AE34" s="9"/>
      <c r="AF34" s="10"/>
      <c r="AG34" s="5"/>
    </row>
    <row r="35" spans="2:33" x14ac:dyDescent="0.25">
      <c r="B35" s="36" t="s">
        <v>14</v>
      </c>
      <c r="C35" s="37" t="s">
        <v>26</v>
      </c>
      <c r="D35" s="37" t="s">
        <v>7</v>
      </c>
      <c r="E35" s="37" t="s">
        <v>29</v>
      </c>
      <c r="F35" s="38">
        <v>43130</v>
      </c>
      <c r="G35" s="44">
        <v>5599.6500000000005</v>
      </c>
      <c r="H35" s="9"/>
      <c r="I35" s="9"/>
      <c r="J35" s="9"/>
      <c r="K35" s="3"/>
      <c r="L35" s="3"/>
      <c r="M35" s="3"/>
      <c r="N35" s="3"/>
      <c r="O35" s="3"/>
      <c r="P35" s="3"/>
      <c r="Q35" s="3"/>
      <c r="R35" s="3"/>
      <c r="S35" s="9"/>
      <c r="T35" s="9"/>
      <c r="U35" s="9"/>
      <c r="V35" s="9"/>
      <c r="W35" s="9"/>
      <c r="X35" s="9"/>
      <c r="Y35" s="9"/>
      <c r="Z35" s="9"/>
      <c r="AA35" s="9"/>
      <c r="AB35" s="9"/>
      <c r="AC35" s="9"/>
      <c r="AD35" s="9"/>
      <c r="AE35" s="9"/>
      <c r="AF35" s="10"/>
      <c r="AG35" s="5"/>
    </row>
    <row r="36" spans="2:33" x14ac:dyDescent="0.25">
      <c r="B36" s="33" t="s">
        <v>15</v>
      </c>
      <c r="C36" s="34" t="s">
        <v>27</v>
      </c>
      <c r="D36" s="34" t="s">
        <v>22</v>
      </c>
      <c r="E36" s="34" t="s">
        <v>30</v>
      </c>
      <c r="F36" s="35">
        <v>43131</v>
      </c>
      <c r="G36" s="43">
        <v>1363.8</v>
      </c>
      <c r="H36" s="9"/>
      <c r="I36" s="9"/>
      <c r="J36" s="9"/>
      <c r="K36" s="9"/>
      <c r="L36" s="9"/>
      <c r="M36" s="9"/>
      <c r="N36" s="9"/>
      <c r="O36" s="9"/>
      <c r="P36" s="9"/>
      <c r="Q36" s="9"/>
      <c r="R36" s="9"/>
      <c r="S36" s="9"/>
      <c r="T36" s="9"/>
      <c r="U36" s="9"/>
      <c r="V36" s="9"/>
      <c r="W36" s="9"/>
      <c r="X36" s="9"/>
      <c r="Y36" s="9"/>
      <c r="Z36" s="9"/>
      <c r="AA36" s="9"/>
      <c r="AB36" s="9"/>
      <c r="AC36" s="9"/>
      <c r="AD36" s="9"/>
      <c r="AE36" s="9"/>
      <c r="AF36" s="10"/>
      <c r="AG36" s="5"/>
    </row>
    <row r="37" spans="2:33" x14ac:dyDescent="0.25">
      <c r="B37" s="36" t="s">
        <v>10</v>
      </c>
      <c r="C37" s="37" t="s">
        <v>34</v>
      </c>
      <c r="D37" s="37" t="s">
        <v>8</v>
      </c>
      <c r="E37" s="37" t="s">
        <v>29</v>
      </c>
      <c r="F37" s="38">
        <v>43131</v>
      </c>
      <c r="G37" s="44">
        <v>2727.6</v>
      </c>
      <c r="H37" s="9"/>
      <c r="I37" s="9"/>
      <c r="J37" s="9"/>
      <c r="K37" s="9"/>
      <c r="L37" s="9"/>
      <c r="M37" s="9"/>
      <c r="N37" s="9"/>
      <c r="O37" s="9"/>
      <c r="P37" s="9"/>
      <c r="Q37" s="9"/>
      <c r="R37" s="9"/>
      <c r="S37" s="9"/>
      <c r="T37" s="9"/>
      <c r="U37" s="9"/>
      <c r="V37" s="9"/>
      <c r="W37" s="9"/>
      <c r="X37" s="9"/>
      <c r="Y37" s="9"/>
      <c r="Z37" s="9"/>
      <c r="AA37" s="9"/>
      <c r="AB37" s="9"/>
      <c r="AC37" s="9"/>
      <c r="AD37" s="9"/>
      <c r="AE37" s="9"/>
      <c r="AF37" s="10"/>
      <c r="AG37" s="5"/>
    </row>
    <row r="38" spans="2:33" x14ac:dyDescent="0.25">
      <c r="B38" s="33" t="s">
        <v>10</v>
      </c>
      <c r="C38" s="34" t="s">
        <v>26</v>
      </c>
      <c r="D38" s="34" t="s">
        <v>8</v>
      </c>
      <c r="E38" s="34" t="s">
        <v>32</v>
      </c>
      <c r="F38" s="35">
        <v>43132</v>
      </c>
      <c r="G38" s="43">
        <v>3999.75</v>
      </c>
      <c r="H38" s="9"/>
      <c r="I38" s="9"/>
      <c r="J38" s="9"/>
      <c r="K38" s="9"/>
      <c r="L38" s="9"/>
      <c r="M38" s="9"/>
      <c r="N38" s="9"/>
      <c r="O38" s="9"/>
      <c r="P38" s="9"/>
      <c r="Q38" s="9"/>
      <c r="R38" s="9"/>
      <c r="S38" s="9"/>
      <c r="T38" s="9"/>
      <c r="U38" s="9"/>
      <c r="V38" s="9"/>
      <c r="W38" s="9"/>
      <c r="X38" s="9"/>
      <c r="Y38" s="9"/>
      <c r="Z38" s="9"/>
      <c r="AA38" s="9"/>
      <c r="AB38" s="9"/>
      <c r="AC38" s="9"/>
      <c r="AD38" s="9"/>
      <c r="AE38" s="9"/>
      <c r="AF38" s="10"/>
      <c r="AG38" s="5"/>
    </row>
    <row r="39" spans="2:33" x14ac:dyDescent="0.25">
      <c r="B39" s="36" t="s">
        <v>12</v>
      </c>
      <c r="C39" s="37" t="s">
        <v>26</v>
      </c>
      <c r="D39" s="37" t="s">
        <v>22</v>
      </c>
      <c r="E39" s="37" t="s">
        <v>29</v>
      </c>
      <c r="F39" s="38">
        <v>43132</v>
      </c>
      <c r="G39" s="44">
        <v>5599.6500000000005</v>
      </c>
      <c r="H39" s="9"/>
      <c r="I39" s="9"/>
      <c r="J39" s="9"/>
      <c r="K39" s="9"/>
      <c r="L39" s="9"/>
      <c r="M39" s="9"/>
      <c r="N39" s="9"/>
      <c r="O39" s="9"/>
      <c r="P39" s="9"/>
      <c r="Q39" s="9"/>
      <c r="R39" s="9"/>
      <c r="S39" s="9"/>
      <c r="T39" s="9"/>
      <c r="U39" s="9"/>
      <c r="V39" s="9"/>
      <c r="W39" s="9"/>
      <c r="X39" s="9"/>
      <c r="Y39" s="9"/>
      <c r="Z39" s="9"/>
      <c r="AA39" s="9"/>
      <c r="AB39" s="9"/>
      <c r="AC39" s="9"/>
      <c r="AD39" s="9"/>
      <c r="AE39" s="9"/>
      <c r="AF39" s="10"/>
      <c r="AG39" s="5"/>
    </row>
    <row r="40" spans="2:33" x14ac:dyDescent="0.25">
      <c r="B40" s="33" t="s">
        <v>14</v>
      </c>
      <c r="C40" s="34" t="s">
        <v>34</v>
      </c>
      <c r="D40" s="34" t="s">
        <v>7</v>
      </c>
      <c r="E40" s="34" t="s">
        <v>29</v>
      </c>
      <c r="F40" s="35">
        <v>43132</v>
      </c>
      <c r="G40" s="43">
        <v>2045.6999999999998</v>
      </c>
      <c r="H40" s="9"/>
      <c r="I40" s="9"/>
      <c r="J40" s="9"/>
      <c r="K40" s="9"/>
      <c r="L40" s="9"/>
      <c r="M40" s="9"/>
      <c r="N40" s="9"/>
      <c r="O40" s="9"/>
      <c r="P40" s="9"/>
      <c r="Q40" s="9"/>
      <c r="R40" s="9"/>
      <c r="S40" s="9"/>
      <c r="T40" s="9"/>
      <c r="U40" s="9"/>
      <c r="V40" s="9"/>
      <c r="W40" s="9"/>
      <c r="X40" s="9"/>
      <c r="Y40" s="9"/>
      <c r="Z40" s="9"/>
      <c r="AA40" s="9"/>
      <c r="AB40" s="9"/>
      <c r="AC40" s="9"/>
      <c r="AD40" s="9"/>
      <c r="AE40" s="9"/>
      <c r="AF40" s="10"/>
      <c r="AG40" s="5"/>
    </row>
    <row r="41" spans="2:33" x14ac:dyDescent="0.25">
      <c r="B41" s="36" t="s">
        <v>10</v>
      </c>
      <c r="C41" s="37" t="s">
        <v>24</v>
      </c>
      <c r="D41" s="37" t="s">
        <v>8</v>
      </c>
      <c r="E41" s="37" t="s">
        <v>29</v>
      </c>
      <c r="F41" s="38">
        <v>43133</v>
      </c>
      <c r="G41" s="44">
        <v>399.95</v>
      </c>
      <c r="H41" s="9"/>
      <c r="I41" s="9"/>
      <c r="J41" s="9"/>
      <c r="K41" s="9"/>
      <c r="L41" s="9"/>
      <c r="M41" s="9"/>
      <c r="N41" s="9"/>
      <c r="O41" s="9"/>
      <c r="P41" s="9"/>
      <c r="Q41" s="9"/>
      <c r="R41" s="9"/>
      <c r="S41" s="9"/>
      <c r="T41" s="9"/>
      <c r="U41" s="9"/>
      <c r="V41" s="9"/>
      <c r="W41" s="9"/>
      <c r="X41" s="9"/>
      <c r="Y41" s="9"/>
      <c r="Z41" s="9"/>
      <c r="AA41" s="9"/>
      <c r="AB41" s="9"/>
      <c r="AC41" s="9"/>
      <c r="AD41" s="9"/>
      <c r="AE41" s="9"/>
      <c r="AF41" s="10"/>
      <c r="AG41" s="5"/>
    </row>
    <row r="42" spans="2:33" x14ac:dyDescent="0.25">
      <c r="B42" s="33" t="s">
        <v>17</v>
      </c>
      <c r="C42" s="34" t="s">
        <v>24</v>
      </c>
      <c r="D42" s="34" t="s">
        <v>9</v>
      </c>
      <c r="E42" s="34" t="s">
        <v>29</v>
      </c>
      <c r="F42" s="35">
        <v>43136</v>
      </c>
      <c r="G42" s="43">
        <v>799.9</v>
      </c>
      <c r="H42" s="9"/>
      <c r="I42" s="9"/>
      <c r="J42" s="9"/>
      <c r="K42" s="9"/>
      <c r="L42" s="9"/>
      <c r="M42" s="9"/>
      <c r="N42" s="9"/>
      <c r="O42" s="9"/>
      <c r="P42" s="9"/>
      <c r="Q42" s="9"/>
      <c r="R42" s="9"/>
      <c r="S42" s="9"/>
      <c r="T42" s="9"/>
      <c r="U42" s="9"/>
      <c r="V42" s="9"/>
      <c r="W42" s="9"/>
      <c r="X42" s="9"/>
      <c r="Y42" s="9"/>
      <c r="Z42" s="9"/>
      <c r="AA42" s="9"/>
      <c r="AB42" s="9"/>
      <c r="AC42" s="9"/>
      <c r="AD42" s="9"/>
      <c r="AE42" s="9"/>
      <c r="AF42" s="10"/>
      <c r="AG42" s="5"/>
    </row>
    <row r="43" spans="2:33" x14ac:dyDescent="0.25">
      <c r="B43" s="36" t="s">
        <v>18</v>
      </c>
      <c r="C43" s="37" t="s">
        <v>34</v>
      </c>
      <c r="D43" s="37" t="s">
        <v>22</v>
      </c>
      <c r="E43" s="37" t="s">
        <v>28</v>
      </c>
      <c r="F43" s="38">
        <v>43137</v>
      </c>
      <c r="G43" s="44">
        <v>2386.65</v>
      </c>
      <c r="H43" s="9"/>
      <c r="I43" s="9"/>
      <c r="J43" s="9"/>
      <c r="K43" s="9"/>
      <c r="L43" s="9"/>
      <c r="M43" s="9"/>
      <c r="N43" s="9"/>
      <c r="O43" s="9"/>
      <c r="P43" s="9"/>
      <c r="Q43" s="9"/>
      <c r="R43" s="9"/>
      <c r="S43" s="9"/>
      <c r="T43" s="9"/>
      <c r="U43" s="9"/>
      <c r="V43" s="9"/>
      <c r="W43" s="9"/>
      <c r="X43" s="9"/>
      <c r="Y43" s="9"/>
      <c r="Z43" s="9"/>
      <c r="AA43" s="9"/>
      <c r="AB43" s="9"/>
      <c r="AC43" s="9"/>
      <c r="AD43" s="9"/>
      <c r="AE43" s="9"/>
      <c r="AF43" s="10"/>
      <c r="AG43" s="5"/>
    </row>
    <row r="44" spans="2:33" x14ac:dyDescent="0.25">
      <c r="B44" s="33" t="s">
        <v>18</v>
      </c>
      <c r="C44" s="34" t="s">
        <v>34</v>
      </c>
      <c r="D44" s="34" t="s">
        <v>22</v>
      </c>
      <c r="E44" s="34" t="s">
        <v>28</v>
      </c>
      <c r="F44" s="35">
        <v>43137</v>
      </c>
      <c r="G44" s="43">
        <v>3750.45</v>
      </c>
      <c r="H44" s="9"/>
      <c r="I44" s="9"/>
      <c r="J44" s="9"/>
      <c r="K44" s="9"/>
      <c r="L44" s="9"/>
      <c r="M44" s="9"/>
      <c r="N44" s="9"/>
      <c r="O44" s="9"/>
      <c r="P44" s="9"/>
      <c r="Q44" s="9"/>
      <c r="R44" s="9"/>
      <c r="S44" s="9"/>
      <c r="T44" s="9"/>
      <c r="U44" s="9"/>
      <c r="V44" s="9"/>
      <c r="W44" s="9"/>
      <c r="X44" s="9"/>
      <c r="Y44" s="9"/>
      <c r="Z44" s="9"/>
      <c r="AA44" s="9"/>
      <c r="AB44" s="9"/>
      <c r="AC44" s="9"/>
      <c r="AD44" s="9"/>
      <c r="AE44" s="9"/>
      <c r="AF44" s="10"/>
      <c r="AG44" s="5"/>
    </row>
    <row r="45" spans="2:33" x14ac:dyDescent="0.25">
      <c r="B45" s="36" t="s">
        <v>13</v>
      </c>
      <c r="C45" s="37" t="s">
        <v>34</v>
      </c>
      <c r="D45" s="37" t="s">
        <v>7</v>
      </c>
      <c r="E45" s="37" t="s">
        <v>28</v>
      </c>
      <c r="F45" s="38">
        <v>43137</v>
      </c>
      <c r="G45" s="44">
        <v>3068.5499999999997</v>
      </c>
      <c r="H45" s="9"/>
      <c r="I45" s="9"/>
      <c r="J45" s="9"/>
      <c r="K45" s="9"/>
      <c r="L45" s="9"/>
      <c r="M45" s="9"/>
      <c r="N45" s="9"/>
      <c r="O45" s="9"/>
      <c r="P45" s="9"/>
      <c r="Q45" s="9"/>
      <c r="R45" s="9"/>
      <c r="S45" s="9"/>
      <c r="T45" s="9"/>
      <c r="U45" s="9"/>
      <c r="V45" s="9"/>
      <c r="W45" s="9"/>
      <c r="X45" s="9"/>
      <c r="Y45" s="9"/>
      <c r="Z45" s="9"/>
      <c r="AA45" s="9"/>
      <c r="AB45" s="9"/>
      <c r="AC45" s="9"/>
      <c r="AD45" s="9"/>
      <c r="AE45" s="9"/>
      <c r="AF45" s="10"/>
      <c r="AG45" s="5"/>
    </row>
    <row r="46" spans="2:33" x14ac:dyDescent="0.25">
      <c r="B46" s="33" t="s">
        <v>13</v>
      </c>
      <c r="C46" s="34" t="s">
        <v>34</v>
      </c>
      <c r="D46" s="34" t="s">
        <v>7</v>
      </c>
      <c r="E46" s="34" t="s">
        <v>28</v>
      </c>
      <c r="F46" s="35">
        <v>43137</v>
      </c>
      <c r="G46" s="43">
        <v>4091.3999999999996</v>
      </c>
      <c r="H46" s="9"/>
      <c r="I46" s="9"/>
      <c r="J46" s="9"/>
      <c r="K46" s="9"/>
      <c r="L46" s="9"/>
      <c r="M46" s="9"/>
      <c r="N46" s="9"/>
      <c r="O46" s="9"/>
      <c r="P46" s="9"/>
      <c r="Q46" s="9"/>
      <c r="R46" s="9"/>
      <c r="S46" s="9"/>
      <c r="T46" s="9"/>
      <c r="U46" s="9"/>
      <c r="V46" s="9"/>
      <c r="W46" s="9"/>
      <c r="X46" s="9"/>
      <c r="Y46" s="9"/>
      <c r="Z46" s="9"/>
      <c r="AA46" s="9"/>
      <c r="AB46" s="9"/>
      <c r="AC46" s="9"/>
      <c r="AD46" s="9"/>
      <c r="AE46" s="9"/>
      <c r="AF46" s="10"/>
      <c r="AG46" s="5"/>
    </row>
    <row r="47" spans="2:33" x14ac:dyDescent="0.25">
      <c r="B47" s="36" t="s">
        <v>14</v>
      </c>
      <c r="C47" s="37" t="s">
        <v>34</v>
      </c>
      <c r="D47" s="37" t="s">
        <v>7</v>
      </c>
      <c r="E47" s="37" t="s">
        <v>28</v>
      </c>
      <c r="F47" s="38">
        <v>43137</v>
      </c>
      <c r="G47" s="44">
        <v>5114.25</v>
      </c>
      <c r="H47" s="9"/>
      <c r="I47" s="9"/>
      <c r="J47" s="9"/>
      <c r="K47" s="9"/>
      <c r="L47" s="9"/>
      <c r="M47" s="9"/>
      <c r="N47" s="9"/>
      <c r="O47" s="9"/>
      <c r="P47" s="9"/>
      <c r="Q47" s="9"/>
      <c r="R47" s="9"/>
      <c r="S47" s="9"/>
      <c r="T47" s="9"/>
      <c r="U47" s="9"/>
      <c r="V47" s="9"/>
      <c r="W47" s="9"/>
      <c r="X47" s="9"/>
      <c r="Y47" s="9"/>
      <c r="Z47" s="9"/>
      <c r="AA47" s="9"/>
      <c r="AB47" s="9"/>
      <c r="AC47" s="9"/>
      <c r="AD47" s="9"/>
      <c r="AE47" s="9"/>
      <c r="AF47" s="10"/>
      <c r="AG47" s="5"/>
    </row>
    <row r="48" spans="2:33" x14ac:dyDescent="0.25">
      <c r="B48" s="33" t="s">
        <v>14</v>
      </c>
      <c r="C48" s="34" t="s">
        <v>34</v>
      </c>
      <c r="D48" s="34" t="s">
        <v>7</v>
      </c>
      <c r="E48" s="34" t="s">
        <v>28</v>
      </c>
      <c r="F48" s="35">
        <v>43137</v>
      </c>
      <c r="G48" s="43">
        <v>5796.15</v>
      </c>
      <c r="H48" s="9"/>
      <c r="I48" s="9"/>
      <c r="J48" s="9"/>
      <c r="K48" s="9"/>
      <c r="L48" s="9"/>
      <c r="M48" s="9"/>
      <c r="N48" s="9"/>
      <c r="O48" s="9"/>
      <c r="P48" s="9"/>
      <c r="Q48" s="9"/>
      <c r="R48" s="9"/>
      <c r="S48" s="9"/>
      <c r="T48" s="9"/>
      <c r="U48" s="9"/>
      <c r="V48" s="9"/>
      <c r="W48" s="9"/>
      <c r="X48" s="9"/>
      <c r="Y48" s="9"/>
      <c r="Z48" s="9"/>
      <c r="AA48" s="9"/>
      <c r="AB48" s="9"/>
      <c r="AC48" s="9"/>
      <c r="AD48" s="9"/>
      <c r="AE48" s="9"/>
      <c r="AF48" s="10"/>
      <c r="AG48" s="5"/>
    </row>
    <row r="49" spans="2:33" x14ac:dyDescent="0.25">
      <c r="B49" s="36" t="s">
        <v>17</v>
      </c>
      <c r="C49" s="37" t="s">
        <v>24</v>
      </c>
      <c r="D49" s="37" t="s">
        <v>9</v>
      </c>
      <c r="E49" s="37" t="s">
        <v>32</v>
      </c>
      <c r="F49" s="38">
        <v>43139</v>
      </c>
      <c r="G49" s="44">
        <v>719.91</v>
      </c>
      <c r="H49" s="9"/>
      <c r="I49" s="9"/>
      <c r="J49" s="9"/>
      <c r="K49" s="9"/>
      <c r="L49" s="9"/>
      <c r="M49" s="9"/>
      <c r="N49" s="9"/>
      <c r="O49" s="9"/>
      <c r="P49" s="9"/>
      <c r="Q49" s="9"/>
      <c r="R49" s="9"/>
      <c r="S49" s="9"/>
      <c r="T49" s="9"/>
      <c r="U49" s="9"/>
      <c r="V49" s="9"/>
      <c r="W49" s="9"/>
      <c r="X49" s="9"/>
      <c r="Y49" s="9"/>
      <c r="Z49" s="9"/>
      <c r="AA49" s="9"/>
      <c r="AB49" s="9"/>
      <c r="AC49" s="9"/>
      <c r="AD49" s="9"/>
      <c r="AE49" s="9"/>
      <c r="AF49" s="10"/>
      <c r="AG49" s="5"/>
    </row>
    <row r="50" spans="2:33" x14ac:dyDescent="0.25">
      <c r="B50" s="33" t="s">
        <v>17</v>
      </c>
      <c r="C50" s="34" t="s">
        <v>24</v>
      </c>
      <c r="D50" s="34" t="s">
        <v>9</v>
      </c>
      <c r="E50" s="34" t="s">
        <v>32</v>
      </c>
      <c r="F50" s="35">
        <v>43139</v>
      </c>
      <c r="G50" s="43">
        <v>1119.8599999999999</v>
      </c>
      <c r="H50" s="9"/>
      <c r="I50" s="9"/>
      <c r="J50" s="9"/>
      <c r="K50" s="9"/>
      <c r="L50" s="9"/>
      <c r="M50" s="9"/>
      <c r="N50" s="9"/>
      <c r="O50" s="9"/>
      <c r="P50" s="9"/>
      <c r="Q50" s="9"/>
      <c r="R50" s="9"/>
      <c r="S50" s="9"/>
      <c r="T50" s="9"/>
      <c r="U50" s="9"/>
      <c r="V50" s="9"/>
      <c r="W50" s="9"/>
      <c r="X50" s="9"/>
      <c r="Y50" s="9"/>
      <c r="Z50" s="9"/>
      <c r="AA50" s="9"/>
      <c r="AB50" s="9"/>
      <c r="AC50" s="9"/>
      <c r="AD50" s="9"/>
      <c r="AE50" s="9"/>
      <c r="AF50" s="10"/>
      <c r="AG50" s="5"/>
    </row>
    <row r="51" spans="2:33" x14ac:dyDescent="0.25">
      <c r="B51" s="36" t="s">
        <v>12</v>
      </c>
      <c r="C51" s="37" t="s">
        <v>34</v>
      </c>
      <c r="D51" s="37" t="s">
        <v>22</v>
      </c>
      <c r="E51" s="37" t="s">
        <v>29</v>
      </c>
      <c r="F51" s="38">
        <v>43140</v>
      </c>
      <c r="G51" s="44">
        <v>340.95</v>
      </c>
      <c r="H51" s="9"/>
      <c r="I51" s="9"/>
      <c r="J51" s="9"/>
      <c r="K51" s="9"/>
      <c r="L51" s="9"/>
      <c r="M51" s="9"/>
      <c r="N51" s="9"/>
      <c r="O51" s="9"/>
      <c r="P51" s="9"/>
      <c r="Q51" s="9"/>
      <c r="R51" s="9"/>
      <c r="S51" s="9"/>
      <c r="T51" s="9"/>
      <c r="U51" s="9"/>
      <c r="V51" s="9"/>
      <c r="W51" s="9"/>
      <c r="X51" s="9"/>
      <c r="Y51" s="9"/>
      <c r="Z51" s="9"/>
      <c r="AA51" s="9"/>
      <c r="AB51" s="9"/>
      <c r="AC51" s="9"/>
      <c r="AD51" s="9"/>
      <c r="AE51" s="9"/>
      <c r="AF51" s="10"/>
      <c r="AG51" s="5"/>
    </row>
    <row r="52" spans="2:33" x14ac:dyDescent="0.25">
      <c r="B52" s="33" t="s">
        <v>12</v>
      </c>
      <c r="C52" s="34" t="s">
        <v>34</v>
      </c>
      <c r="D52" s="34" t="s">
        <v>22</v>
      </c>
      <c r="E52" s="34" t="s">
        <v>29</v>
      </c>
      <c r="F52" s="35">
        <v>43140</v>
      </c>
      <c r="G52" s="43">
        <v>1022.8499999999999</v>
      </c>
      <c r="H52" s="9"/>
      <c r="I52" s="9"/>
      <c r="J52" s="9"/>
      <c r="K52" s="9"/>
      <c r="L52" s="9"/>
      <c r="M52" s="9"/>
      <c r="N52" s="9"/>
      <c r="O52" s="9"/>
      <c r="P52" s="9"/>
      <c r="Q52" s="9"/>
      <c r="R52" s="9"/>
      <c r="S52" s="9"/>
      <c r="T52" s="9"/>
      <c r="U52" s="9"/>
      <c r="V52" s="9"/>
      <c r="W52" s="9"/>
      <c r="X52" s="9"/>
      <c r="Y52" s="9"/>
      <c r="Z52" s="9"/>
      <c r="AA52" s="9"/>
      <c r="AB52" s="9"/>
      <c r="AC52" s="9"/>
      <c r="AD52" s="9"/>
      <c r="AE52" s="9"/>
      <c r="AF52" s="10"/>
      <c r="AG52" s="5"/>
    </row>
    <row r="53" spans="2:33" x14ac:dyDescent="0.25">
      <c r="B53" s="36" t="s">
        <v>12</v>
      </c>
      <c r="C53" s="37" t="s">
        <v>26</v>
      </c>
      <c r="D53" s="37" t="s">
        <v>22</v>
      </c>
      <c r="E53" s="37" t="s">
        <v>32</v>
      </c>
      <c r="F53" s="38">
        <v>43142</v>
      </c>
      <c r="G53" s="44">
        <v>3199.8</v>
      </c>
      <c r="H53" s="9"/>
      <c r="I53" s="9"/>
      <c r="J53" s="9"/>
      <c r="K53" s="9"/>
      <c r="L53" s="9"/>
      <c r="M53" s="9"/>
      <c r="N53" s="9"/>
      <c r="O53" s="9"/>
      <c r="P53" s="9"/>
      <c r="Q53" s="9"/>
      <c r="R53" s="9"/>
      <c r="S53" s="9"/>
      <c r="T53" s="9"/>
      <c r="U53" s="9"/>
      <c r="V53" s="9"/>
      <c r="W53" s="9"/>
      <c r="X53" s="9"/>
      <c r="Y53" s="9"/>
      <c r="Z53" s="9"/>
      <c r="AA53" s="9"/>
      <c r="AB53" s="9"/>
      <c r="AC53" s="9"/>
      <c r="AD53" s="9"/>
      <c r="AE53" s="9"/>
      <c r="AF53" s="10"/>
      <c r="AG53" s="5"/>
    </row>
    <row r="54" spans="2:33" x14ac:dyDescent="0.25">
      <c r="B54" s="33" t="s">
        <v>12</v>
      </c>
      <c r="C54" s="34" t="s">
        <v>26</v>
      </c>
      <c r="D54" s="34" t="s">
        <v>22</v>
      </c>
      <c r="E54" s="34" t="s">
        <v>32</v>
      </c>
      <c r="F54" s="35">
        <v>43142</v>
      </c>
      <c r="G54" s="43">
        <v>8799.4500000000007</v>
      </c>
      <c r="H54" s="9"/>
      <c r="I54" s="9"/>
      <c r="J54" s="9"/>
      <c r="K54" s="9"/>
      <c r="L54" s="9"/>
      <c r="M54" s="9"/>
      <c r="N54" s="9"/>
      <c r="O54" s="9"/>
      <c r="P54" s="9"/>
      <c r="Q54" s="9"/>
      <c r="R54" s="9"/>
      <c r="S54" s="9"/>
      <c r="T54" s="9"/>
      <c r="U54" s="9"/>
      <c r="V54" s="9"/>
      <c r="W54" s="9"/>
      <c r="X54" s="9"/>
      <c r="Y54" s="9"/>
      <c r="Z54" s="9"/>
      <c r="AA54" s="9"/>
      <c r="AB54" s="9"/>
      <c r="AC54" s="9"/>
      <c r="AD54" s="9"/>
      <c r="AE54" s="9"/>
      <c r="AF54" s="10"/>
      <c r="AG54" s="5"/>
    </row>
    <row r="55" spans="2:33" x14ac:dyDescent="0.25">
      <c r="B55" s="36" t="s">
        <v>19</v>
      </c>
      <c r="C55" s="37" t="s">
        <v>27</v>
      </c>
      <c r="D55" s="37" t="s">
        <v>22</v>
      </c>
      <c r="E55" s="37" t="s">
        <v>30</v>
      </c>
      <c r="F55" s="38">
        <v>43143</v>
      </c>
      <c r="G55" s="44">
        <v>1363.8</v>
      </c>
      <c r="H55" s="9"/>
      <c r="I55" s="9"/>
      <c r="J55" s="9"/>
      <c r="K55" s="9"/>
      <c r="L55" s="9"/>
      <c r="M55" s="9"/>
      <c r="N55" s="9"/>
      <c r="O55" s="9"/>
      <c r="P55" s="9"/>
      <c r="Q55" s="9"/>
      <c r="R55" s="9"/>
      <c r="S55" s="9"/>
      <c r="T55" s="9"/>
      <c r="U55" s="9"/>
      <c r="V55" s="9"/>
      <c r="W55" s="9"/>
      <c r="X55" s="9"/>
      <c r="Y55" s="9"/>
      <c r="Z55" s="9"/>
      <c r="AA55" s="9"/>
      <c r="AB55" s="9"/>
      <c r="AC55" s="9"/>
      <c r="AD55" s="9"/>
      <c r="AE55" s="9"/>
      <c r="AF55" s="10"/>
      <c r="AG55" s="5"/>
    </row>
    <row r="56" spans="2:33" x14ac:dyDescent="0.25">
      <c r="B56" s="33" t="s">
        <v>19</v>
      </c>
      <c r="C56" s="34" t="s">
        <v>27</v>
      </c>
      <c r="D56" s="34" t="s">
        <v>22</v>
      </c>
      <c r="E56" s="34" t="s">
        <v>30</v>
      </c>
      <c r="F56" s="35">
        <v>43143</v>
      </c>
      <c r="G56" s="43">
        <v>2045.6999999999998</v>
      </c>
      <c r="H56" s="9"/>
      <c r="I56" s="9"/>
      <c r="J56" s="9"/>
      <c r="K56" s="9"/>
      <c r="L56" s="9"/>
      <c r="M56" s="9"/>
      <c r="N56" s="9"/>
      <c r="O56" s="9"/>
      <c r="P56" s="9"/>
      <c r="Q56" s="9"/>
      <c r="R56" s="9"/>
      <c r="S56" s="9"/>
      <c r="T56" s="9"/>
      <c r="U56" s="9"/>
      <c r="V56" s="9"/>
      <c r="W56" s="9"/>
      <c r="X56" s="9"/>
      <c r="Y56" s="9"/>
      <c r="Z56" s="9"/>
      <c r="AA56" s="9"/>
      <c r="AB56" s="9"/>
      <c r="AC56" s="9"/>
      <c r="AD56" s="9"/>
      <c r="AE56" s="9"/>
      <c r="AF56" s="10"/>
      <c r="AG56" s="5"/>
    </row>
    <row r="57" spans="2:33" x14ac:dyDescent="0.25">
      <c r="B57" s="36" t="s">
        <v>14</v>
      </c>
      <c r="C57" s="37" t="s">
        <v>25</v>
      </c>
      <c r="D57" s="37" t="s">
        <v>7</v>
      </c>
      <c r="E57" s="37" t="s">
        <v>28</v>
      </c>
      <c r="F57" s="38">
        <v>43143</v>
      </c>
      <c r="G57" s="44">
        <v>1351.6</v>
      </c>
      <c r="H57" s="9"/>
      <c r="I57" s="9"/>
      <c r="J57" s="9"/>
      <c r="K57" s="9"/>
      <c r="L57" s="9"/>
      <c r="M57" s="9"/>
      <c r="N57" s="9"/>
      <c r="O57" s="9"/>
      <c r="P57" s="9"/>
      <c r="Q57" s="9"/>
      <c r="R57" s="9"/>
      <c r="S57" s="9"/>
      <c r="T57" s="9"/>
      <c r="U57" s="9"/>
      <c r="V57" s="9"/>
      <c r="W57" s="9"/>
      <c r="X57" s="9"/>
      <c r="Y57" s="9"/>
      <c r="Z57" s="9"/>
      <c r="AA57" s="9"/>
      <c r="AB57" s="9"/>
      <c r="AC57" s="9"/>
      <c r="AD57" s="9"/>
      <c r="AE57" s="9"/>
      <c r="AF57" s="10"/>
      <c r="AG57" s="5"/>
    </row>
    <row r="58" spans="2:33" x14ac:dyDescent="0.25">
      <c r="B58" s="33" t="s">
        <v>14</v>
      </c>
      <c r="C58" s="34" t="s">
        <v>25</v>
      </c>
      <c r="D58" s="34" t="s">
        <v>7</v>
      </c>
      <c r="E58" s="34" t="s">
        <v>28</v>
      </c>
      <c r="F58" s="35">
        <v>43143</v>
      </c>
      <c r="G58" s="43">
        <v>2196.35</v>
      </c>
      <c r="H58" s="9"/>
      <c r="I58" s="9"/>
      <c r="J58" s="9"/>
      <c r="K58" s="9"/>
      <c r="L58" s="9"/>
      <c r="M58" s="9"/>
      <c r="N58" s="9"/>
      <c r="O58" s="9"/>
      <c r="P58" s="9"/>
      <c r="Q58" s="9"/>
      <c r="R58" s="9"/>
      <c r="S58" s="9"/>
      <c r="T58" s="9"/>
      <c r="U58" s="9"/>
      <c r="V58" s="9"/>
      <c r="W58" s="9"/>
      <c r="X58" s="9"/>
      <c r="Y58" s="9"/>
      <c r="Z58" s="9"/>
      <c r="AA58" s="9"/>
      <c r="AB58" s="9"/>
      <c r="AC58" s="9"/>
      <c r="AD58" s="9"/>
      <c r="AE58" s="9"/>
      <c r="AF58" s="10"/>
      <c r="AG58" s="5"/>
    </row>
    <row r="59" spans="2:33" x14ac:dyDescent="0.25">
      <c r="B59" s="36" t="s">
        <v>14</v>
      </c>
      <c r="C59" s="37" t="s">
        <v>24</v>
      </c>
      <c r="D59" s="37" t="s">
        <v>7</v>
      </c>
      <c r="E59" s="37" t="s">
        <v>28</v>
      </c>
      <c r="F59" s="38">
        <v>43143</v>
      </c>
      <c r="G59" s="44">
        <v>639.91999999999996</v>
      </c>
      <c r="H59" s="9"/>
      <c r="I59" s="9"/>
      <c r="J59" s="9"/>
      <c r="K59" s="9"/>
      <c r="L59" s="9"/>
      <c r="M59" s="9"/>
      <c r="N59" s="9"/>
      <c r="O59" s="9"/>
      <c r="P59" s="9"/>
      <c r="Q59" s="9"/>
      <c r="R59" s="9"/>
      <c r="S59" s="9"/>
      <c r="T59" s="9"/>
      <c r="U59" s="9"/>
      <c r="V59" s="9"/>
      <c r="W59" s="9"/>
      <c r="X59" s="9"/>
      <c r="Y59" s="9"/>
      <c r="Z59" s="9"/>
      <c r="AA59" s="9"/>
      <c r="AB59" s="9"/>
      <c r="AC59" s="9"/>
      <c r="AD59" s="9"/>
      <c r="AE59" s="9"/>
      <c r="AF59" s="10"/>
      <c r="AG59" s="5"/>
    </row>
    <row r="60" spans="2:33" x14ac:dyDescent="0.25">
      <c r="B60" s="33" t="s">
        <v>14</v>
      </c>
      <c r="C60" s="34" t="s">
        <v>24</v>
      </c>
      <c r="D60" s="34" t="s">
        <v>7</v>
      </c>
      <c r="E60" s="34" t="s">
        <v>28</v>
      </c>
      <c r="F60" s="35">
        <v>43143</v>
      </c>
      <c r="G60" s="43">
        <v>1119.8599999999999</v>
      </c>
      <c r="H60" s="9"/>
      <c r="I60" s="9"/>
      <c r="J60" s="9"/>
      <c r="K60" s="9"/>
      <c r="L60" s="9"/>
      <c r="M60" s="9"/>
      <c r="N60" s="9"/>
      <c r="O60" s="9"/>
      <c r="P60" s="9"/>
      <c r="Q60" s="9"/>
      <c r="R60" s="9"/>
      <c r="S60" s="9"/>
      <c r="T60" s="9"/>
      <c r="U60" s="9"/>
      <c r="V60" s="9"/>
      <c r="W60" s="9"/>
      <c r="X60" s="9"/>
      <c r="Y60" s="9"/>
      <c r="Z60" s="9"/>
      <c r="AA60" s="9"/>
      <c r="AB60" s="9"/>
      <c r="AC60" s="9"/>
      <c r="AD60" s="9"/>
      <c r="AE60" s="9"/>
      <c r="AF60" s="10"/>
      <c r="AG60" s="5"/>
    </row>
    <row r="61" spans="2:33" x14ac:dyDescent="0.25">
      <c r="B61" s="36" t="s">
        <v>18</v>
      </c>
      <c r="C61" s="37" t="s">
        <v>24</v>
      </c>
      <c r="D61" s="37" t="s">
        <v>22</v>
      </c>
      <c r="E61" s="37" t="s">
        <v>28</v>
      </c>
      <c r="F61" s="38">
        <v>43146</v>
      </c>
      <c r="G61" s="44">
        <v>1359.83</v>
      </c>
      <c r="H61" s="9"/>
      <c r="I61" s="9"/>
      <c r="J61" s="9"/>
      <c r="K61" s="9"/>
      <c r="L61" s="9"/>
      <c r="M61" s="9"/>
      <c r="N61" s="9"/>
      <c r="O61" s="9"/>
      <c r="P61" s="9"/>
      <c r="Q61" s="9"/>
      <c r="R61" s="9"/>
      <c r="S61" s="9"/>
      <c r="T61" s="9"/>
      <c r="U61" s="9"/>
      <c r="V61" s="9"/>
      <c r="W61" s="9"/>
      <c r="X61" s="9"/>
      <c r="Y61" s="9"/>
      <c r="Z61" s="9"/>
      <c r="AA61" s="9"/>
      <c r="AB61" s="9"/>
      <c r="AC61" s="9"/>
      <c r="AD61" s="9"/>
      <c r="AE61" s="9"/>
      <c r="AF61" s="10"/>
      <c r="AG61" s="5"/>
    </row>
    <row r="62" spans="2:33" x14ac:dyDescent="0.25">
      <c r="B62" s="33" t="s">
        <v>19</v>
      </c>
      <c r="C62" s="34" t="s">
        <v>26</v>
      </c>
      <c r="D62" s="34" t="s">
        <v>22</v>
      </c>
      <c r="E62" s="34" t="s">
        <v>32</v>
      </c>
      <c r="F62" s="35">
        <v>43147</v>
      </c>
      <c r="G62" s="43">
        <v>799.95</v>
      </c>
      <c r="H62" s="9"/>
      <c r="I62" s="9"/>
      <c r="J62" s="9"/>
      <c r="K62" s="9"/>
      <c r="L62" s="9"/>
      <c r="M62" s="9"/>
      <c r="N62" s="9"/>
      <c r="O62" s="9"/>
      <c r="P62" s="9"/>
      <c r="Q62" s="9"/>
      <c r="R62" s="9"/>
      <c r="S62" s="9"/>
      <c r="T62" s="9"/>
      <c r="U62" s="9"/>
      <c r="V62" s="9"/>
      <c r="W62" s="9"/>
      <c r="X62" s="9"/>
      <c r="Y62" s="9"/>
      <c r="Z62" s="9"/>
      <c r="AA62" s="9"/>
      <c r="AB62" s="9"/>
      <c r="AC62" s="9"/>
      <c r="AD62" s="9"/>
      <c r="AE62" s="9"/>
      <c r="AF62" s="10"/>
      <c r="AG62" s="5"/>
    </row>
    <row r="63" spans="2:33" x14ac:dyDescent="0.25">
      <c r="B63" s="36" t="s">
        <v>16</v>
      </c>
      <c r="C63" s="37" t="s">
        <v>25</v>
      </c>
      <c r="D63" s="37" t="s">
        <v>7</v>
      </c>
      <c r="E63" s="37" t="s">
        <v>29</v>
      </c>
      <c r="F63" s="38">
        <v>43147</v>
      </c>
      <c r="G63" s="44">
        <v>1858.4499999999998</v>
      </c>
      <c r="H63" s="9"/>
      <c r="I63" s="9"/>
      <c r="J63" s="9"/>
      <c r="K63" s="9"/>
      <c r="L63" s="9"/>
      <c r="M63" s="9"/>
      <c r="N63" s="9"/>
      <c r="O63" s="9"/>
      <c r="P63" s="9"/>
      <c r="Q63" s="9"/>
      <c r="R63" s="9"/>
      <c r="S63" s="9"/>
      <c r="T63" s="9"/>
      <c r="U63" s="9"/>
      <c r="V63" s="9"/>
      <c r="W63" s="9"/>
      <c r="X63" s="9"/>
      <c r="Y63" s="9"/>
      <c r="Z63" s="9"/>
      <c r="AA63" s="9"/>
      <c r="AB63" s="9"/>
      <c r="AC63" s="9"/>
      <c r="AD63" s="9"/>
      <c r="AE63" s="9"/>
      <c r="AF63" s="10"/>
      <c r="AG63" s="5"/>
    </row>
    <row r="64" spans="2:33" x14ac:dyDescent="0.25">
      <c r="B64" s="33" t="s">
        <v>19</v>
      </c>
      <c r="C64" s="34" t="s">
        <v>26</v>
      </c>
      <c r="D64" s="34" t="s">
        <v>22</v>
      </c>
      <c r="E64" s="34" t="s">
        <v>30</v>
      </c>
      <c r="F64" s="35">
        <v>43150</v>
      </c>
      <c r="G64" s="43">
        <v>7199.55</v>
      </c>
      <c r="H64" s="9"/>
      <c r="I64" s="9"/>
      <c r="J64" s="9"/>
      <c r="K64" s="9"/>
      <c r="L64" s="9"/>
      <c r="M64" s="9"/>
      <c r="N64" s="9"/>
      <c r="O64" s="9"/>
      <c r="P64" s="9"/>
      <c r="Q64" s="9"/>
      <c r="R64" s="9"/>
      <c r="S64" s="9"/>
      <c r="T64" s="9"/>
      <c r="U64" s="9"/>
      <c r="V64" s="9"/>
      <c r="W64" s="9"/>
      <c r="X64" s="9"/>
      <c r="Y64" s="9"/>
      <c r="Z64" s="9"/>
      <c r="AA64" s="9"/>
      <c r="AB64" s="9"/>
      <c r="AC64" s="9"/>
      <c r="AD64" s="9"/>
      <c r="AE64" s="9"/>
      <c r="AF64" s="10"/>
      <c r="AG64" s="5"/>
    </row>
    <row r="65" spans="2:33" x14ac:dyDescent="0.25">
      <c r="B65" s="36" t="s">
        <v>13</v>
      </c>
      <c r="C65" s="37" t="s">
        <v>24</v>
      </c>
      <c r="D65" s="37" t="s">
        <v>7</v>
      </c>
      <c r="E65" s="37" t="s">
        <v>28</v>
      </c>
      <c r="F65" s="38">
        <v>43150</v>
      </c>
      <c r="G65" s="44">
        <v>1199.8499999999999</v>
      </c>
      <c r="H65" s="9"/>
      <c r="I65" s="9"/>
      <c r="J65" s="9"/>
      <c r="K65" s="9"/>
      <c r="L65" s="9"/>
      <c r="M65" s="9"/>
      <c r="N65" s="9"/>
      <c r="O65" s="9"/>
      <c r="P65" s="9"/>
      <c r="Q65" s="9"/>
      <c r="R65" s="9"/>
      <c r="S65" s="9"/>
      <c r="T65" s="9"/>
      <c r="U65" s="9"/>
      <c r="V65" s="9"/>
      <c r="W65" s="9"/>
      <c r="X65" s="9"/>
      <c r="Y65" s="9"/>
      <c r="Z65" s="9"/>
      <c r="AA65" s="9"/>
      <c r="AB65" s="9"/>
      <c r="AC65" s="9"/>
      <c r="AD65" s="9"/>
      <c r="AE65" s="9"/>
      <c r="AF65" s="10"/>
      <c r="AG65" s="5"/>
    </row>
    <row r="66" spans="2:33" x14ac:dyDescent="0.25">
      <c r="B66" s="33" t="s">
        <v>12</v>
      </c>
      <c r="C66" s="34" t="s">
        <v>26</v>
      </c>
      <c r="D66" s="34" t="s">
        <v>22</v>
      </c>
      <c r="E66" s="34" t="s">
        <v>28</v>
      </c>
      <c r="F66" s="35">
        <v>43150</v>
      </c>
      <c r="G66" s="43">
        <v>11199.300000000001</v>
      </c>
      <c r="H66" s="9"/>
      <c r="I66" s="9"/>
      <c r="J66" s="9"/>
      <c r="K66" s="9"/>
      <c r="L66" s="9"/>
      <c r="M66" s="9"/>
      <c r="N66" s="9"/>
      <c r="O66" s="9"/>
      <c r="P66" s="9"/>
      <c r="Q66" s="9"/>
      <c r="R66" s="9"/>
      <c r="S66" s="9"/>
      <c r="T66" s="9"/>
      <c r="U66" s="9"/>
      <c r="V66" s="9"/>
      <c r="W66" s="9"/>
      <c r="X66" s="9"/>
      <c r="Y66" s="9"/>
      <c r="Z66" s="9"/>
      <c r="AA66" s="9"/>
      <c r="AB66" s="9"/>
      <c r="AC66" s="9"/>
      <c r="AD66" s="9"/>
      <c r="AE66" s="9"/>
      <c r="AF66" s="10"/>
      <c r="AG66" s="5"/>
    </row>
    <row r="67" spans="2:33" x14ac:dyDescent="0.25">
      <c r="B67" s="36" t="s">
        <v>14</v>
      </c>
      <c r="C67" s="37" t="s">
        <v>24</v>
      </c>
      <c r="D67" s="37" t="s">
        <v>7</v>
      </c>
      <c r="E67" s="37" t="s">
        <v>28</v>
      </c>
      <c r="F67" s="38">
        <v>43150</v>
      </c>
      <c r="G67" s="44">
        <v>1599.8</v>
      </c>
      <c r="H67" s="9"/>
      <c r="I67" s="9"/>
      <c r="J67" s="9"/>
      <c r="K67" s="9"/>
      <c r="L67" s="9"/>
      <c r="M67" s="9"/>
      <c r="N67" s="9"/>
      <c r="O67" s="9"/>
      <c r="P67" s="9"/>
      <c r="Q67" s="9"/>
      <c r="R67" s="9"/>
      <c r="S67" s="9"/>
      <c r="T67" s="9"/>
      <c r="U67" s="9"/>
      <c r="V67" s="9"/>
      <c r="W67" s="9"/>
      <c r="X67" s="9"/>
      <c r="Y67" s="9"/>
      <c r="Z67" s="9"/>
      <c r="AA67" s="9"/>
      <c r="AB67" s="9"/>
      <c r="AC67" s="9"/>
      <c r="AD67" s="9"/>
      <c r="AE67" s="9"/>
      <c r="AF67" s="10"/>
      <c r="AG67" s="5"/>
    </row>
    <row r="68" spans="2:33" x14ac:dyDescent="0.25">
      <c r="B68" s="33" t="s">
        <v>16</v>
      </c>
      <c r="C68" s="34" t="s">
        <v>26</v>
      </c>
      <c r="D68" s="34" t="s">
        <v>7</v>
      </c>
      <c r="E68" s="34" t="s">
        <v>32</v>
      </c>
      <c r="F68" s="35">
        <v>43150</v>
      </c>
      <c r="G68" s="43">
        <v>3999.75</v>
      </c>
      <c r="H68" s="9"/>
      <c r="I68" s="9"/>
      <c r="J68" s="9"/>
      <c r="K68" s="9"/>
      <c r="L68" s="9"/>
      <c r="M68" s="9"/>
      <c r="N68" s="9"/>
      <c r="O68" s="9"/>
      <c r="P68" s="9"/>
      <c r="Q68" s="9"/>
      <c r="R68" s="9"/>
      <c r="S68" s="9"/>
      <c r="T68" s="9"/>
      <c r="U68" s="9"/>
      <c r="V68" s="9"/>
      <c r="W68" s="9"/>
      <c r="X68" s="9"/>
      <c r="Y68" s="9"/>
      <c r="Z68" s="9"/>
      <c r="AA68" s="9"/>
      <c r="AB68" s="9"/>
      <c r="AC68" s="9"/>
      <c r="AD68" s="9"/>
      <c r="AE68" s="9"/>
      <c r="AF68" s="10"/>
      <c r="AG68" s="5"/>
    </row>
    <row r="69" spans="2:33" x14ac:dyDescent="0.25">
      <c r="B69" s="36" t="s">
        <v>16</v>
      </c>
      <c r="C69" s="37" t="s">
        <v>26</v>
      </c>
      <c r="D69" s="37" t="s">
        <v>7</v>
      </c>
      <c r="E69" s="37" t="s">
        <v>28</v>
      </c>
      <c r="F69" s="38">
        <v>43151</v>
      </c>
      <c r="G69" s="44">
        <v>14399.1</v>
      </c>
      <c r="H69" s="9"/>
      <c r="I69" s="9"/>
      <c r="J69" s="9"/>
      <c r="K69" s="9"/>
      <c r="L69" s="9"/>
      <c r="M69" s="9"/>
      <c r="N69" s="9"/>
      <c r="O69" s="9"/>
      <c r="P69" s="9"/>
      <c r="Q69" s="9"/>
      <c r="R69" s="9"/>
      <c r="S69" s="9"/>
      <c r="T69" s="9"/>
      <c r="U69" s="9"/>
      <c r="V69" s="9"/>
      <c r="W69" s="9"/>
      <c r="X69" s="9"/>
      <c r="Y69" s="9"/>
      <c r="Z69" s="9"/>
      <c r="AA69" s="9"/>
      <c r="AB69" s="9"/>
      <c r="AC69" s="9"/>
      <c r="AD69" s="9"/>
      <c r="AE69" s="9"/>
      <c r="AF69" s="10"/>
      <c r="AG69" s="5"/>
    </row>
    <row r="70" spans="2:33" x14ac:dyDescent="0.25">
      <c r="B70" s="33" t="s">
        <v>10</v>
      </c>
      <c r="C70" s="34" t="s">
        <v>25</v>
      </c>
      <c r="D70" s="34" t="s">
        <v>8</v>
      </c>
      <c r="E70" s="34" t="s">
        <v>32</v>
      </c>
      <c r="F70" s="35">
        <v>43151</v>
      </c>
      <c r="G70" s="43">
        <v>1351.6</v>
      </c>
      <c r="H70" s="9"/>
      <c r="I70" s="9"/>
      <c r="J70" s="9"/>
      <c r="K70" s="9"/>
      <c r="L70" s="9"/>
      <c r="M70" s="9"/>
      <c r="N70" s="9"/>
      <c r="O70" s="9"/>
      <c r="P70" s="9"/>
      <c r="Q70" s="9"/>
      <c r="R70" s="9"/>
      <c r="S70" s="9"/>
      <c r="T70" s="9"/>
      <c r="U70" s="9"/>
      <c r="V70" s="9"/>
      <c r="W70" s="9"/>
      <c r="X70" s="9"/>
      <c r="Y70" s="9"/>
      <c r="Z70" s="9"/>
      <c r="AA70" s="9"/>
      <c r="AB70" s="9"/>
      <c r="AC70" s="9"/>
      <c r="AD70" s="9"/>
      <c r="AE70" s="9"/>
      <c r="AF70" s="10"/>
      <c r="AG70" s="5"/>
    </row>
    <row r="71" spans="2:33" x14ac:dyDescent="0.25">
      <c r="B71" s="36" t="s">
        <v>16</v>
      </c>
      <c r="C71" s="37" t="s">
        <v>26</v>
      </c>
      <c r="D71" s="37" t="s">
        <v>7</v>
      </c>
      <c r="E71" s="37" t="s">
        <v>32</v>
      </c>
      <c r="F71" s="38">
        <v>43152</v>
      </c>
      <c r="G71" s="44">
        <v>11199.300000000001</v>
      </c>
      <c r="H71" s="9"/>
      <c r="I71" s="9"/>
      <c r="J71" s="9"/>
      <c r="K71" s="9"/>
      <c r="L71" s="9"/>
      <c r="M71" s="9"/>
      <c r="N71" s="9"/>
      <c r="O71" s="9"/>
      <c r="P71" s="9"/>
      <c r="Q71" s="9"/>
      <c r="R71" s="9"/>
      <c r="S71" s="9"/>
      <c r="T71" s="9"/>
      <c r="U71" s="9"/>
      <c r="V71" s="9"/>
      <c r="W71" s="9"/>
      <c r="X71" s="9"/>
      <c r="Y71" s="9"/>
      <c r="Z71" s="9"/>
      <c r="AA71" s="9"/>
      <c r="AB71" s="9"/>
      <c r="AC71" s="9"/>
      <c r="AD71" s="9"/>
      <c r="AE71" s="9"/>
      <c r="AF71" s="10"/>
      <c r="AG71" s="5"/>
    </row>
    <row r="72" spans="2:33" x14ac:dyDescent="0.25">
      <c r="B72" s="33" t="s">
        <v>12</v>
      </c>
      <c r="C72" s="34" t="s">
        <v>34</v>
      </c>
      <c r="D72" s="34" t="s">
        <v>22</v>
      </c>
      <c r="E72" s="34" t="s">
        <v>28</v>
      </c>
      <c r="F72" s="35">
        <v>43153</v>
      </c>
      <c r="G72" s="43">
        <v>6137.0999999999995</v>
      </c>
      <c r="H72" s="9"/>
      <c r="I72" s="9"/>
      <c r="J72" s="9"/>
      <c r="K72" s="9"/>
      <c r="L72" s="9"/>
      <c r="M72" s="9"/>
      <c r="N72" s="9"/>
      <c r="O72" s="9"/>
      <c r="P72" s="9"/>
      <c r="Q72" s="9"/>
      <c r="R72" s="9"/>
      <c r="S72" s="9"/>
      <c r="T72" s="9"/>
      <c r="U72" s="9"/>
      <c r="V72" s="9"/>
      <c r="W72" s="9"/>
      <c r="X72" s="9"/>
      <c r="Y72" s="9"/>
      <c r="Z72" s="9"/>
      <c r="AA72" s="9"/>
      <c r="AB72" s="9"/>
      <c r="AC72" s="9"/>
      <c r="AD72" s="9"/>
      <c r="AE72" s="9"/>
      <c r="AF72" s="10"/>
      <c r="AG72" s="5"/>
    </row>
    <row r="73" spans="2:33" x14ac:dyDescent="0.25">
      <c r="B73" s="36" t="s">
        <v>11</v>
      </c>
      <c r="C73" s="37" t="s">
        <v>34</v>
      </c>
      <c r="D73" s="37" t="s">
        <v>9</v>
      </c>
      <c r="E73" s="37" t="s">
        <v>29</v>
      </c>
      <c r="F73" s="38">
        <v>43153</v>
      </c>
      <c r="G73" s="44">
        <v>681.9</v>
      </c>
      <c r="H73" s="9"/>
      <c r="I73" s="9"/>
      <c r="J73" s="9"/>
      <c r="K73" s="9"/>
      <c r="L73" s="9"/>
      <c r="M73" s="9"/>
      <c r="N73" s="9"/>
      <c r="O73" s="9"/>
      <c r="P73" s="9"/>
      <c r="Q73" s="9"/>
      <c r="R73" s="9"/>
      <c r="S73" s="9"/>
      <c r="T73" s="9"/>
      <c r="U73" s="9"/>
      <c r="V73" s="9"/>
      <c r="W73" s="9"/>
      <c r="X73" s="9"/>
      <c r="Y73" s="9"/>
      <c r="Z73" s="9"/>
      <c r="AA73" s="9"/>
      <c r="AB73" s="9"/>
      <c r="AC73" s="9"/>
      <c r="AD73" s="9"/>
      <c r="AE73" s="9"/>
      <c r="AF73" s="10"/>
      <c r="AG73" s="5"/>
    </row>
    <row r="74" spans="2:33" x14ac:dyDescent="0.25">
      <c r="B74" s="33" t="s">
        <v>12</v>
      </c>
      <c r="C74" s="34" t="s">
        <v>26</v>
      </c>
      <c r="D74" s="34" t="s">
        <v>22</v>
      </c>
      <c r="E74" s="34" t="s">
        <v>28</v>
      </c>
      <c r="F74" s="35">
        <v>43154</v>
      </c>
      <c r="G74" s="43">
        <v>13599.150000000001</v>
      </c>
      <c r="H74" s="9"/>
      <c r="I74" s="9"/>
      <c r="J74" s="9"/>
      <c r="K74" s="9"/>
      <c r="L74" s="9"/>
      <c r="M74" s="9"/>
      <c r="N74" s="9"/>
      <c r="O74" s="9"/>
      <c r="P74" s="9"/>
      <c r="Q74" s="9"/>
      <c r="R74" s="9"/>
      <c r="S74" s="9"/>
      <c r="T74" s="9"/>
      <c r="U74" s="9"/>
      <c r="V74" s="9"/>
      <c r="W74" s="9"/>
      <c r="X74" s="9"/>
      <c r="Y74" s="9"/>
      <c r="Z74" s="9"/>
      <c r="AA74" s="9"/>
      <c r="AB74" s="9"/>
      <c r="AC74" s="9"/>
      <c r="AD74" s="9"/>
      <c r="AE74" s="9"/>
      <c r="AF74" s="10"/>
      <c r="AG74" s="5"/>
    </row>
    <row r="75" spans="2:33" x14ac:dyDescent="0.25">
      <c r="B75" s="36" t="s">
        <v>18</v>
      </c>
      <c r="C75" s="37" t="s">
        <v>34</v>
      </c>
      <c r="D75" s="37" t="s">
        <v>22</v>
      </c>
      <c r="E75" s="37" t="s">
        <v>32</v>
      </c>
      <c r="F75" s="38">
        <v>43154</v>
      </c>
      <c r="G75" s="44">
        <v>4091.3999999999996</v>
      </c>
      <c r="H75" s="9"/>
      <c r="I75" s="9"/>
      <c r="J75" s="9"/>
      <c r="K75" s="9"/>
      <c r="L75" s="9"/>
      <c r="M75" s="9"/>
      <c r="N75" s="9"/>
      <c r="O75" s="9"/>
      <c r="P75" s="9"/>
      <c r="Q75" s="9"/>
      <c r="R75" s="9"/>
      <c r="S75" s="9"/>
      <c r="T75" s="9"/>
      <c r="U75" s="9"/>
      <c r="V75" s="9"/>
      <c r="W75" s="9"/>
      <c r="X75" s="9"/>
      <c r="Y75" s="9"/>
      <c r="Z75" s="9"/>
      <c r="AA75" s="9"/>
      <c r="AB75" s="9"/>
      <c r="AC75" s="9"/>
      <c r="AD75" s="9"/>
      <c r="AE75" s="9"/>
      <c r="AF75" s="10"/>
      <c r="AG75" s="5"/>
    </row>
    <row r="76" spans="2:33" x14ac:dyDescent="0.25">
      <c r="B76" s="33" t="s">
        <v>12</v>
      </c>
      <c r="C76" s="34" t="s">
        <v>27</v>
      </c>
      <c r="D76" s="34" t="s">
        <v>22</v>
      </c>
      <c r="E76" s="34" t="s">
        <v>29</v>
      </c>
      <c r="F76" s="35">
        <v>43158</v>
      </c>
      <c r="G76" s="43">
        <v>4773.3</v>
      </c>
      <c r="H76" s="9"/>
      <c r="I76" s="9"/>
      <c r="J76" s="9"/>
      <c r="K76" s="9"/>
      <c r="L76" s="9"/>
      <c r="M76" s="9"/>
      <c r="N76" s="9"/>
      <c r="O76" s="9"/>
      <c r="P76" s="9"/>
      <c r="Q76" s="9"/>
      <c r="R76" s="9"/>
      <c r="S76" s="9"/>
      <c r="T76" s="9"/>
      <c r="U76" s="9"/>
      <c r="V76" s="9"/>
      <c r="W76" s="9"/>
      <c r="X76" s="9"/>
      <c r="Y76" s="9"/>
      <c r="Z76" s="9"/>
      <c r="AA76" s="9"/>
      <c r="AB76" s="9"/>
      <c r="AC76" s="9"/>
      <c r="AD76" s="9"/>
      <c r="AE76" s="9"/>
      <c r="AF76" s="10"/>
      <c r="AG76" s="5"/>
    </row>
    <row r="77" spans="2:33" x14ac:dyDescent="0.25">
      <c r="B77" s="36" t="s">
        <v>12</v>
      </c>
      <c r="C77" s="37" t="s">
        <v>26</v>
      </c>
      <c r="D77" s="37" t="s">
        <v>22</v>
      </c>
      <c r="E77" s="37" t="s">
        <v>30</v>
      </c>
      <c r="F77" s="38">
        <v>43159</v>
      </c>
      <c r="G77" s="44">
        <v>7199.55</v>
      </c>
      <c r="H77" s="9"/>
      <c r="I77" s="9"/>
      <c r="J77" s="9"/>
      <c r="K77" s="9"/>
      <c r="L77" s="9"/>
      <c r="M77" s="9"/>
      <c r="N77" s="9"/>
      <c r="O77" s="9"/>
      <c r="P77" s="9"/>
      <c r="Q77" s="9"/>
      <c r="R77" s="9"/>
      <c r="S77" s="9"/>
      <c r="T77" s="9"/>
      <c r="U77" s="9"/>
      <c r="V77" s="9"/>
      <c r="W77" s="9"/>
      <c r="X77" s="9"/>
      <c r="Y77" s="9"/>
      <c r="Z77" s="9"/>
      <c r="AA77" s="9"/>
      <c r="AB77" s="9"/>
      <c r="AC77" s="9"/>
      <c r="AD77" s="9"/>
      <c r="AE77" s="9"/>
      <c r="AF77" s="10"/>
      <c r="AG77" s="5"/>
    </row>
    <row r="78" spans="2:33" x14ac:dyDescent="0.25">
      <c r="B78" s="33" t="s">
        <v>17</v>
      </c>
      <c r="C78" s="34" t="s">
        <v>25</v>
      </c>
      <c r="D78" s="34" t="s">
        <v>9</v>
      </c>
      <c r="E78" s="34" t="s">
        <v>30</v>
      </c>
      <c r="F78" s="35">
        <v>43163</v>
      </c>
      <c r="G78" s="43">
        <v>675.8</v>
      </c>
      <c r="H78" s="9"/>
      <c r="I78" s="9"/>
      <c r="J78" s="9"/>
      <c r="K78" s="9"/>
      <c r="L78" s="9"/>
      <c r="M78" s="9"/>
      <c r="N78" s="9"/>
      <c r="O78" s="9"/>
      <c r="P78" s="9"/>
      <c r="Q78" s="9"/>
      <c r="R78" s="9"/>
      <c r="S78" s="9"/>
      <c r="T78" s="9"/>
      <c r="U78" s="9"/>
      <c r="V78" s="9"/>
      <c r="W78" s="9"/>
      <c r="X78" s="9"/>
      <c r="Y78" s="9"/>
      <c r="Z78" s="9"/>
      <c r="AA78" s="9"/>
      <c r="AB78" s="9"/>
      <c r="AC78" s="9"/>
      <c r="AD78" s="9"/>
      <c r="AE78" s="9"/>
      <c r="AF78" s="10"/>
      <c r="AG78" s="5"/>
    </row>
    <row r="79" spans="2:33" x14ac:dyDescent="0.25">
      <c r="B79" s="36" t="s">
        <v>13</v>
      </c>
      <c r="C79" s="37" t="s">
        <v>27</v>
      </c>
      <c r="D79" s="37" t="s">
        <v>7</v>
      </c>
      <c r="E79" s="37" t="s">
        <v>28</v>
      </c>
      <c r="F79" s="38">
        <v>43163</v>
      </c>
      <c r="G79" s="44">
        <v>6819</v>
      </c>
      <c r="H79" s="9"/>
      <c r="I79" s="9"/>
      <c r="J79" s="9"/>
      <c r="K79" s="9"/>
      <c r="L79" s="9"/>
      <c r="M79" s="9"/>
      <c r="N79" s="9"/>
      <c r="O79" s="9"/>
      <c r="P79" s="9"/>
      <c r="Q79" s="9"/>
      <c r="R79" s="9"/>
      <c r="S79" s="9"/>
      <c r="T79" s="9"/>
      <c r="U79" s="9"/>
      <c r="V79" s="9"/>
      <c r="W79" s="9"/>
      <c r="X79" s="9"/>
      <c r="Y79" s="9"/>
      <c r="Z79" s="9"/>
      <c r="AA79" s="9"/>
      <c r="AB79" s="9"/>
      <c r="AC79" s="9"/>
      <c r="AD79" s="9"/>
      <c r="AE79" s="9"/>
      <c r="AF79" s="10"/>
      <c r="AG79" s="5"/>
    </row>
    <row r="80" spans="2:33" x14ac:dyDescent="0.25">
      <c r="B80" s="33" t="s">
        <v>17</v>
      </c>
      <c r="C80" s="34" t="s">
        <v>24</v>
      </c>
      <c r="D80" s="34" t="s">
        <v>9</v>
      </c>
      <c r="E80" s="34" t="s">
        <v>29</v>
      </c>
      <c r="F80" s="35">
        <v>43164</v>
      </c>
      <c r="G80" s="43">
        <v>799.9</v>
      </c>
      <c r="H80" s="9"/>
      <c r="I80" s="9"/>
      <c r="J80" s="9"/>
      <c r="K80" s="9"/>
      <c r="L80" s="9"/>
      <c r="M80" s="9"/>
      <c r="N80" s="9"/>
      <c r="O80" s="9"/>
      <c r="P80" s="9"/>
      <c r="Q80" s="9"/>
      <c r="R80" s="9"/>
      <c r="S80" s="9"/>
      <c r="T80" s="9"/>
      <c r="U80" s="9"/>
      <c r="V80" s="9"/>
      <c r="W80" s="9"/>
      <c r="X80" s="9"/>
      <c r="Y80" s="9"/>
      <c r="Z80" s="9"/>
      <c r="AA80" s="9"/>
      <c r="AB80" s="9"/>
      <c r="AC80" s="9"/>
      <c r="AD80" s="9"/>
      <c r="AE80" s="9"/>
      <c r="AF80" s="10"/>
      <c r="AG80" s="5"/>
    </row>
    <row r="81" spans="2:33" x14ac:dyDescent="0.25">
      <c r="B81" s="36" t="s">
        <v>12</v>
      </c>
      <c r="C81" s="37" t="s">
        <v>24</v>
      </c>
      <c r="D81" s="37" t="s">
        <v>22</v>
      </c>
      <c r="E81" s="37" t="s">
        <v>30</v>
      </c>
      <c r="F81" s="38">
        <v>43166</v>
      </c>
      <c r="G81" s="44">
        <v>959.87999999999988</v>
      </c>
      <c r="H81" s="9"/>
      <c r="I81" s="9"/>
      <c r="J81" s="9"/>
      <c r="K81" s="9"/>
      <c r="L81" s="9"/>
      <c r="M81" s="9"/>
      <c r="N81" s="9"/>
      <c r="O81" s="9"/>
      <c r="P81" s="9"/>
      <c r="Q81" s="9"/>
      <c r="R81" s="9"/>
      <c r="S81" s="9"/>
      <c r="T81" s="9"/>
      <c r="U81" s="9"/>
      <c r="V81" s="9"/>
      <c r="W81" s="9"/>
      <c r="X81" s="9"/>
      <c r="Y81" s="9"/>
      <c r="Z81" s="9"/>
      <c r="AA81" s="9"/>
      <c r="AB81" s="9"/>
      <c r="AC81" s="9"/>
      <c r="AD81" s="9"/>
      <c r="AE81" s="9"/>
      <c r="AF81" s="10"/>
      <c r="AG81" s="5"/>
    </row>
    <row r="82" spans="2:33" x14ac:dyDescent="0.25">
      <c r="B82" s="33" t="s">
        <v>11</v>
      </c>
      <c r="C82" s="34" t="s">
        <v>25</v>
      </c>
      <c r="D82" s="34" t="s">
        <v>9</v>
      </c>
      <c r="E82" s="34" t="s">
        <v>30</v>
      </c>
      <c r="F82" s="35">
        <v>43167</v>
      </c>
      <c r="G82" s="43">
        <v>1858.4499999999998</v>
      </c>
      <c r="H82" s="9"/>
      <c r="I82" s="9"/>
      <c r="J82" s="9"/>
      <c r="K82" s="9"/>
      <c r="L82" s="9"/>
      <c r="M82" s="9"/>
      <c r="N82" s="9"/>
      <c r="O82" s="9"/>
      <c r="P82" s="9"/>
      <c r="Q82" s="9"/>
      <c r="R82" s="9"/>
      <c r="S82" s="9"/>
      <c r="T82" s="9"/>
      <c r="U82" s="9"/>
      <c r="V82" s="9"/>
      <c r="W82" s="9"/>
      <c r="X82" s="9"/>
      <c r="Y82" s="9"/>
      <c r="Z82" s="9"/>
      <c r="AA82" s="9"/>
      <c r="AB82" s="9"/>
      <c r="AC82" s="9"/>
      <c r="AD82" s="9"/>
      <c r="AE82" s="9"/>
      <c r="AF82" s="10"/>
      <c r="AG82" s="5"/>
    </row>
    <row r="83" spans="2:33" x14ac:dyDescent="0.25">
      <c r="B83" s="36" t="s">
        <v>12</v>
      </c>
      <c r="C83" s="37" t="s">
        <v>27</v>
      </c>
      <c r="D83" s="37" t="s">
        <v>22</v>
      </c>
      <c r="E83" s="37" t="s">
        <v>31</v>
      </c>
      <c r="F83" s="38">
        <v>43168</v>
      </c>
      <c r="G83" s="44">
        <v>340.95</v>
      </c>
      <c r="H83" s="9"/>
      <c r="I83" s="9"/>
      <c r="J83" s="9"/>
      <c r="K83" s="9"/>
      <c r="L83" s="9"/>
      <c r="M83" s="9"/>
      <c r="N83" s="9"/>
      <c r="O83" s="9"/>
      <c r="P83" s="9"/>
      <c r="Q83" s="9"/>
      <c r="R83" s="9"/>
      <c r="S83" s="9"/>
      <c r="T83" s="9"/>
      <c r="U83" s="9"/>
      <c r="V83" s="9"/>
      <c r="W83" s="9"/>
      <c r="X83" s="9"/>
      <c r="Y83" s="9"/>
      <c r="Z83" s="9"/>
      <c r="AA83" s="9"/>
      <c r="AB83" s="9"/>
      <c r="AC83" s="9"/>
      <c r="AD83" s="9"/>
      <c r="AE83" s="9"/>
      <c r="AF83" s="10"/>
      <c r="AG83" s="5"/>
    </row>
    <row r="84" spans="2:33" x14ac:dyDescent="0.25">
      <c r="B84" s="33" t="s">
        <v>18</v>
      </c>
      <c r="C84" s="34" t="s">
        <v>26</v>
      </c>
      <c r="D84" s="34" t="s">
        <v>22</v>
      </c>
      <c r="E84" s="34" t="s">
        <v>30</v>
      </c>
      <c r="F84" s="35">
        <v>43171</v>
      </c>
      <c r="G84" s="43">
        <v>6399.6</v>
      </c>
      <c r="H84" s="9"/>
      <c r="I84" s="9"/>
      <c r="J84" s="9"/>
      <c r="K84" s="9"/>
      <c r="L84" s="9"/>
      <c r="M84" s="9"/>
      <c r="N84" s="9"/>
      <c r="O84" s="9"/>
      <c r="P84" s="9"/>
      <c r="Q84" s="9"/>
      <c r="R84" s="9"/>
      <c r="S84" s="9"/>
      <c r="T84" s="9"/>
      <c r="U84" s="9"/>
      <c r="V84" s="9"/>
      <c r="W84" s="9"/>
      <c r="X84" s="9"/>
      <c r="Y84" s="9"/>
      <c r="Z84" s="9"/>
      <c r="AA84" s="9"/>
      <c r="AB84" s="9"/>
      <c r="AC84" s="9"/>
      <c r="AD84" s="9"/>
      <c r="AE84" s="9"/>
      <c r="AF84" s="10"/>
      <c r="AG84" s="5"/>
    </row>
    <row r="85" spans="2:33" x14ac:dyDescent="0.25">
      <c r="B85" s="36" t="s">
        <v>19</v>
      </c>
      <c r="C85" s="37" t="s">
        <v>25</v>
      </c>
      <c r="D85" s="37" t="s">
        <v>22</v>
      </c>
      <c r="E85" s="37" t="s">
        <v>29</v>
      </c>
      <c r="F85" s="38">
        <v>43171</v>
      </c>
      <c r="G85" s="44">
        <v>2534.25</v>
      </c>
      <c r="H85" s="9"/>
      <c r="I85" s="9"/>
      <c r="J85" s="9"/>
      <c r="K85" s="9"/>
      <c r="L85" s="9"/>
      <c r="M85" s="9"/>
      <c r="N85" s="9"/>
      <c r="O85" s="9"/>
      <c r="P85" s="9"/>
      <c r="Q85" s="9"/>
      <c r="R85" s="9"/>
      <c r="S85" s="9"/>
      <c r="T85" s="9"/>
      <c r="U85" s="9"/>
      <c r="V85" s="9"/>
      <c r="W85" s="9"/>
      <c r="X85" s="9"/>
      <c r="Y85" s="9"/>
      <c r="Z85" s="9"/>
      <c r="AA85" s="9"/>
      <c r="AB85" s="9"/>
      <c r="AC85" s="9"/>
      <c r="AD85" s="9"/>
      <c r="AE85" s="9"/>
      <c r="AF85" s="10"/>
      <c r="AG85" s="5"/>
    </row>
    <row r="86" spans="2:33" x14ac:dyDescent="0.25">
      <c r="B86" s="33" t="s">
        <v>14</v>
      </c>
      <c r="C86" s="34" t="s">
        <v>34</v>
      </c>
      <c r="D86" s="34" t="s">
        <v>7</v>
      </c>
      <c r="E86" s="34" t="s">
        <v>31</v>
      </c>
      <c r="F86" s="35">
        <v>43171</v>
      </c>
      <c r="G86" s="43">
        <v>2045.6999999999998</v>
      </c>
      <c r="H86" s="9"/>
      <c r="I86" s="9"/>
      <c r="J86" s="9"/>
      <c r="K86" s="9"/>
      <c r="L86" s="9"/>
      <c r="M86" s="9"/>
      <c r="N86" s="9"/>
      <c r="O86" s="9"/>
      <c r="P86" s="9"/>
      <c r="Q86" s="9"/>
      <c r="R86" s="9"/>
      <c r="S86" s="9"/>
      <c r="T86" s="9"/>
      <c r="U86" s="9"/>
      <c r="V86" s="9"/>
      <c r="W86" s="9"/>
      <c r="X86" s="9"/>
      <c r="Y86" s="9"/>
      <c r="Z86" s="9"/>
      <c r="AA86" s="9"/>
      <c r="AB86" s="9"/>
      <c r="AC86" s="9"/>
      <c r="AD86" s="9"/>
      <c r="AE86" s="9"/>
      <c r="AF86" s="10"/>
      <c r="AG86" s="5"/>
    </row>
    <row r="87" spans="2:33" x14ac:dyDescent="0.25">
      <c r="B87" s="36" t="s">
        <v>19</v>
      </c>
      <c r="C87" s="37" t="s">
        <v>34</v>
      </c>
      <c r="D87" s="37" t="s">
        <v>22</v>
      </c>
      <c r="E87" s="37" t="s">
        <v>28</v>
      </c>
      <c r="F87" s="38">
        <v>43172</v>
      </c>
      <c r="G87" s="44">
        <v>5796.15</v>
      </c>
      <c r="H87" s="9"/>
      <c r="I87" s="9"/>
      <c r="J87" s="9"/>
      <c r="K87" s="9"/>
      <c r="L87" s="9"/>
      <c r="M87" s="9"/>
      <c r="N87" s="9"/>
      <c r="O87" s="9"/>
      <c r="P87" s="9"/>
      <c r="Q87" s="9"/>
      <c r="R87" s="9"/>
      <c r="S87" s="9"/>
      <c r="T87" s="9"/>
      <c r="U87" s="9"/>
      <c r="V87" s="9"/>
      <c r="W87" s="9"/>
      <c r="X87" s="9"/>
      <c r="Y87" s="9"/>
      <c r="Z87" s="9"/>
      <c r="AA87" s="9"/>
      <c r="AB87" s="9"/>
      <c r="AC87" s="9"/>
      <c r="AD87" s="9"/>
      <c r="AE87" s="9"/>
      <c r="AF87" s="10"/>
      <c r="AG87" s="5"/>
    </row>
    <row r="88" spans="2:33" x14ac:dyDescent="0.25">
      <c r="B88" s="33" t="s">
        <v>10</v>
      </c>
      <c r="C88" s="34" t="s">
        <v>34</v>
      </c>
      <c r="D88" s="34" t="s">
        <v>8</v>
      </c>
      <c r="E88" s="34" t="s">
        <v>32</v>
      </c>
      <c r="F88" s="35">
        <v>43172</v>
      </c>
      <c r="G88" s="43">
        <v>681.9</v>
      </c>
      <c r="H88" s="9"/>
      <c r="I88" s="9"/>
      <c r="J88" s="9"/>
      <c r="K88" s="9"/>
      <c r="L88" s="9"/>
      <c r="M88" s="9"/>
      <c r="N88" s="9"/>
      <c r="O88" s="9"/>
      <c r="P88" s="9"/>
      <c r="Q88" s="9"/>
      <c r="R88" s="9"/>
      <c r="S88" s="9"/>
      <c r="T88" s="9"/>
      <c r="U88" s="9"/>
      <c r="V88" s="9"/>
      <c r="W88" s="9"/>
      <c r="X88" s="9"/>
      <c r="Y88" s="9"/>
      <c r="Z88" s="9"/>
      <c r="AA88" s="9"/>
      <c r="AB88" s="9"/>
      <c r="AC88" s="9"/>
      <c r="AD88" s="9"/>
      <c r="AE88" s="9"/>
      <c r="AF88" s="10"/>
      <c r="AG88" s="5"/>
    </row>
    <row r="89" spans="2:33" x14ac:dyDescent="0.25">
      <c r="B89" s="36" t="s">
        <v>19</v>
      </c>
      <c r="C89" s="37" t="s">
        <v>34</v>
      </c>
      <c r="D89" s="37" t="s">
        <v>22</v>
      </c>
      <c r="E89" s="37" t="s">
        <v>32</v>
      </c>
      <c r="F89" s="38">
        <v>43172</v>
      </c>
      <c r="G89" s="44">
        <v>3068.5499999999997</v>
      </c>
      <c r="H89" s="9"/>
      <c r="I89" s="9"/>
      <c r="J89" s="9"/>
      <c r="K89" s="9"/>
      <c r="L89" s="9"/>
      <c r="M89" s="9"/>
      <c r="N89" s="9"/>
      <c r="O89" s="9"/>
      <c r="P89" s="9"/>
      <c r="Q89" s="9"/>
      <c r="R89" s="9"/>
      <c r="S89" s="9"/>
      <c r="T89" s="9"/>
      <c r="U89" s="9"/>
      <c r="V89" s="9"/>
      <c r="W89" s="9"/>
      <c r="X89" s="9"/>
      <c r="Y89" s="9"/>
      <c r="Z89" s="9"/>
      <c r="AA89" s="9"/>
      <c r="AB89" s="9"/>
      <c r="AC89" s="9"/>
      <c r="AD89" s="9"/>
      <c r="AE89" s="9"/>
      <c r="AF89" s="10"/>
      <c r="AG89" s="5"/>
    </row>
    <row r="90" spans="2:33" x14ac:dyDescent="0.25">
      <c r="B90" s="33" t="s">
        <v>12</v>
      </c>
      <c r="C90" s="34" t="s">
        <v>26</v>
      </c>
      <c r="D90" s="34" t="s">
        <v>22</v>
      </c>
      <c r="E90" s="34" t="s">
        <v>32</v>
      </c>
      <c r="F90" s="35">
        <v>43172</v>
      </c>
      <c r="G90" s="43">
        <v>6399.6</v>
      </c>
      <c r="H90" s="9"/>
      <c r="I90" s="9"/>
      <c r="J90" s="9"/>
      <c r="K90" s="9"/>
      <c r="L90" s="9"/>
      <c r="M90" s="9"/>
      <c r="N90" s="9"/>
      <c r="O90" s="9"/>
      <c r="P90" s="9"/>
      <c r="Q90" s="9"/>
      <c r="R90" s="9"/>
      <c r="S90" s="9"/>
      <c r="T90" s="9"/>
      <c r="U90" s="9"/>
      <c r="V90" s="9"/>
      <c r="W90" s="9"/>
      <c r="X90" s="9"/>
      <c r="Y90" s="9"/>
      <c r="Z90" s="9"/>
      <c r="AA90" s="9"/>
      <c r="AB90" s="9"/>
      <c r="AC90" s="9"/>
      <c r="AD90" s="9"/>
      <c r="AE90" s="9"/>
      <c r="AF90" s="10"/>
      <c r="AG90" s="5"/>
    </row>
    <row r="91" spans="2:33" x14ac:dyDescent="0.25">
      <c r="B91" s="36" t="s">
        <v>14</v>
      </c>
      <c r="C91" s="37" t="s">
        <v>27</v>
      </c>
      <c r="D91" s="37" t="s">
        <v>7</v>
      </c>
      <c r="E91" s="37" t="s">
        <v>30</v>
      </c>
      <c r="F91" s="38">
        <v>43173</v>
      </c>
      <c r="G91" s="44">
        <v>1704.75</v>
      </c>
      <c r="H91" s="9"/>
      <c r="I91" s="9"/>
      <c r="J91" s="9"/>
      <c r="K91" s="9"/>
      <c r="L91" s="9"/>
      <c r="M91" s="9"/>
      <c r="N91" s="9"/>
      <c r="O91" s="9"/>
      <c r="P91" s="9"/>
      <c r="Q91" s="9"/>
      <c r="R91" s="9"/>
      <c r="S91" s="9"/>
      <c r="T91" s="9"/>
      <c r="U91" s="9"/>
      <c r="V91" s="9"/>
      <c r="W91" s="9"/>
      <c r="X91" s="9"/>
      <c r="Y91" s="9"/>
      <c r="Z91" s="9"/>
      <c r="AA91" s="9"/>
      <c r="AB91" s="9"/>
      <c r="AC91" s="9"/>
      <c r="AD91" s="9"/>
      <c r="AE91" s="9"/>
      <c r="AF91" s="10"/>
      <c r="AG91" s="5"/>
    </row>
    <row r="92" spans="2:33" x14ac:dyDescent="0.25">
      <c r="B92" s="33" t="s">
        <v>13</v>
      </c>
      <c r="C92" s="34" t="s">
        <v>26</v>
      </c>
      <c r="D92" s="34" t="s">
        <v>7</v>
      </c>
      <c r="E92" s="34" t="s">
        <v>30</v>
      </c>
      <c r="F92" s="35">
        <v>43175</v>
      </c>
      <c r="G92" s="43">
        <v>8799.4500000000007</v>
      </c>
      <c r="H92" s="9"/>
      <c r="I92" s="9"/>
      <c r="J92" s="9"/>
      <c r="K92" s="9"/>
      <c r="L92" s="9"/>
      <c r="M92" s="9"/>
      <c r="N92" s="9"/>
      <c r="O92" s="9"/>
      <c r="P92" s="9"/>
      <c r="Q92" s="9"/>
      <c r="R92" s="9"/>
      <c r="S92" s="9"/>
      <c r="T92" s="9"/>
      <c r="U92" s="9"/>
      <c r="V92" s="9"/>
      <c r="W92" s="9"/>
      <c r="X92" s="9"/>
      <c r="Y92" s="9"/>
      <c r="Z92" s="9"/>
      <c r="AA92" s="9"/>
      <c r="AB92" s="9"/>
      <c r="AC92" s="9"/>
      <c r="AD92" s="9"/>
      <c r="AE92" s="9"/>
      <c r="AF92" s="10"/>
      <c r="AG92" s="5"/>
    </row>
    <row r="93" spans="2:33" x14ac:dyDescent="0.25">
      <c r="B93" s="36" t="s">
        <v>14</v>
      </c>
      <c r="C93" s="37" t="s">
        <v>24</v>
      </c>
      <c r="D93" s="37" t="s">
        <v>7</v>
      </c>
      <c r="E93" s="37" t="s">
        <v>30</v>
      </c>
      <c r="F93" s="38">
        <v>43177</v>
      </c>
      <c r="G93" s="44">
        <v>719.91</v>
      </c>
      <c r="H93" s="9"/>
      <c r="I93" s="9"/>
      <c r="J93" s="9"/>
      <c r="K93" s="9"/>
      <c r="L93" s="9"/>
      <c r="M93" s="9"/>
      <c r="N93" s="9"/>
      <c r="O93" s="9"/>
      <c r="P93" s="9"/>
      <c r="Q93" s="9"/>
      <c r="R93" s="9"/>
      <c r="S93" s="9"/>
      <c r="T93" s="9"/>
      <c r="U93" s="9"/>
      <c r="V93" s="9"/>
      <c r="W93" s="9"/>
      <c r="X93" s="9"/>
      <c r="Y93" s="9"/>
      <c r="Z93" s="9"/>
      <c r="AA93" s="9"/>
      <c r="AB93" s="9"/>
      <c r="AC93" s="9"/>
      <c r="AD93" s="9"/>
      <c r="AE93" s="9"/>
      <c r="AF93" s="10"/>
      <c r="AG93" s="5"/>
    </row>
    <row r="94" spans="2:33" x14ac:dyDescent="0.25">
      <c r="B94" s="33" t="s">
        <v>10</v>
      </c>
      <c r="C94" s="34" t="s">
        <v>24</v>
      </c>
      <c r="D94" s="34" t="s">
        <v>8</v>
      </c>
      <c r="E94" s="34" t="s">
        <v>31</v>
      </c>
      <c r="F94" s="35">
        <v>43177</v>
      </c>
      <c r="G94" s="43">
        <v>79.989999999999995</v>
      </c>
      <c r="H94" s="9"/>
      <c r="I94" s="9"/>
      <c r="J94" s="9"/>
      <c r="K94" s="9"/>
      <c r="L94" s="9"/>
      <c r="M94" s="9"/>
      <c r="N94" s="9"/>
      <c r="O94" s="9"/>
      <c r="P94" s="9"/>
      <c r="Q94" s="9"/>
      <c r="R94" s="9"/>
      <c r="S94" s="9"/>
      <c r="T94" s="9"/>
      <c r="U94" s="9"/>
      <c r="V94" s="9"/>
      <c r="W94" s="9"/>
      <c r="X94" s="9"/>
      <c r="Y94" s="9"/>
      <c r="Z94" s="9"/>
      <c r="AA94" s="9"/>
      <c r="AB94" s="9"/>
      <c r="AC94" s="9"/>
      <c r="AD94" s="9"/>
      <c r="AE94" s="9"/>
      <c r="AF94" s="10"/>
      <c r="AG94" s="5"/>
    </row>
    <row r="95" spans="2:33" x14ac:dyDescent="0.25">
      <c r="B95" s="36" t="s">
        <v>16</v>
      </c>
      <c r="C95" s="37" t="s">
        <v>34</v>
      </c>
      <c r="D95" s="37" t="s">
        <v>7</v>
      </c>
      <c r="E95" s="37" t="s">
        <v>31</v>
      </c>
      <c r="F95" s="38">
        <v>43177</v>
      </c>
      <c r="G95" s="44">
        <v>3750.45</v>
      </c>
      <c r="H95" s="9"/>
      <c r="I95" s="9"/>
      <c r="J95" s="9"/>
      <c r="K95" s="9"/>
      <c r="L95" s="9"/>
      <c r="M95" s="9"/>
      <c r="N95" s="9"/>
      <c r="O95" s="9"/>
      <c r="P95" s="9"/>
      <c r="Q95" s="9"/>
      <c r="R95" s="9"/>
      <c r="S95" s="9"/>
      <c r="T95" s="9"/>
      <c r="U95" s="9"/>
      <c r="V95" s="9"/>
      <c r="W95" s="9"/>
      <c r="X95" s="9"/>
      <c r="Y95" s="9"/>
      <c r="Z95" s="9"/>
      <c r="AA95" s="9"/>
      <c r="AB95" s="9"/>
      <c r="AC95" s="9"/>
      <c r="AD95" s="9"/>
      <c r="AE95" s="9"/>
      <c r="AF95" s="10"/>
      <c r="AG95" s="5"/>
    </row>
    <row r="96" spans="2:33" x14ac:dyDescent="0.25">
      <c r="B96" s="33" t="s">
        <v>11</v>
      </c>
      <c r="C96" s="34" t="s">
        <v>24</v>
      </c>
      <c r="D96" s="34" t="s">
        <v>9</v>
      </c>
      <c r="E96" s="34" t="s">
        <v>30</v>
      </c>
      <c r="F96" s="35">
        <v>43178</v>
      </c>
      <c r="G96" s="43">
        <v>399.95</v>
      </c>
      <c r="H96" s="9"/>
      <c r="I96" s="9"/>
      <c r="J96" s="9"/>
      <c r="K96" s="9"/>
      <c r="L96" s="9"/>
      <c r="M96" s="9"/>
      <c r="N96" s="9"/>
      <c r="O96" s="9"/>
      <c r="P96" s="9"/>
      <c r="Q96" s="9"/>
      <c r="R96" s="9"/>
      <c r="S96" s="9"/>
      <c r="T96" s="9"/>
      <c r="U96" s="9"/>
      <c r="V96" s="9"/>
      <c r="W96" s="9"/>
      <c r="X96" s="9"/>
      <c r="Y96" s="9"/>
      <c r="Z96" s="9"/>
      <c r="AA96" s="9"/>
      <c r="AB96" s="9"/>
      <c r="AC96" s="9"/>
      <c r="AD96" s="9"/>
      <c r="AE96" s="9"/>
      <c r="AF96" s="10"/>
      <c r="AG96" s="5"/>
    </row>
    <row r="97" spans="2:33" x14ac:dyDescent="0.25">
      <c r="B97" s="36" t="s">
        <v>16</v>
      </c>
      <c r="C97" s="37" t="s">
        <v>25</v>
      </c>
      <c r="D97" s="37" t="s">
        <v>7</v>
      </c>
      <c r="E97" s="37" t="s">
        <v>29</v>
      </c>
      <c r="F97" s="38">
        <v>43179</v>
      </c>
      <c r="G97" s="44">
        <v>2027.3999999999999</v>
      </c>
      <c r="H97" s="9"/>
      <c r="I97" s="9"/>
      <c r="J97" s="9"/>
      <c r="K97" s="9"/>
      <c r="L97" s="9"/>
      <c r="M97" s="9"/>
      <c r="N97" s="9"/>
      <c r="O97" s="9"/>
      <c r="P97" s="9"/>
      <c r="Q97" s="9"/>
      <c r="R97" s="9"/>
      <c r="S97" s="9"/>
      <c r="T97" s="9"/>
      <c r="U97" s="9"/>
      <c r="V97" s="9"/>
      <c r="W97" s="9"/>
      <c r="X97" s="9"/>
      <c r="Y97" s="9"/>
      <c r="Z97" s="9"/>
      <c r="AA97" s="9"/>
      <c r="AB97" s="9"/>
      <c r="AC97" s="9"/>
      <c r="AD97" s="9"/>
      <c r="AE97" s="9"/>
      <c r="AF97" s="10"/>
      <c r="AG97" s="5"/>
    </row>
    <row r="98" spans="2:33" x14ac:dyDescent="0.25">
      <c r="B98" s="33" t="s">
        <v>18</v>
      </c>
      <c r="C98" s="34" t="s">
        <v>27</v>
      </c>
      <c r="D98" s="34" t="s">
        <v>22</v>
      </c>
      <c r="E98" s="34" t="s">
        <v>32</v>
      </c>
      <c r="F98" s="35">
        <v>43180</v>
      </c>
      <c r="G98" s="43">
        <v>340.95</v>
      </c>
      <c r="H98" s="9"/>
      <c r="I98" s="9"/>
      <c r="J98" s="9"/>
      <c r="K98" s="9"/>
      <c r="L98" s="9"/>
      <c r="M98" s="9"/>
      <c r="N98" s="9"/>
      <c r="O98" s="9"/>
      <c r="P98" s="9"/>
      <c r="Q98" s="9"/>
      <c r="R98" s="9"/>
      <c r="S98" s="9"/>
      <c r="T98" s="9"/>
      <c r="U98" s="9"/>
      <c r="V98" s="9"/>
      <c r="W98" s="9"/>
      <c r="X98" s="9"/>
      <c r="Y98" s="9"/>
      <c r="Z98" s="9"/>
      <c r="AA98" s="9"/>
      <c r="AB98" s="9"/>
      <c r="AC98" s="9"/>
      <c r="AD98" s="9"/>
      <c r="AE98" s="9"/>
      <c r="AF98" s="10"/>
      <c r="AG98" s="5"/>
    </row>
    <row r="99" spans="2:33" x14ac:dyDescent="0.25">
      <c r="B99" s="36" t="s">
        <v>16</v>
      </c>
      <c r="C99" s="37" t="s">
        <v>26</v>
      </c>
      <c r="D99" s="37" t="s">
        <v>7</v>
      </c>
      <c r="E99" s="37" t="s">
        <v>32</v>
      </c>
      <c r="F99" s="38">
        <v>43180</v>
      </c>
      <c r="G99" s="44">
        <v>7199.55</v>
      </c>
      <c r="H99" s="9"/>
      <c r="I99" s="9"/>
      <c r="J99" s="9"/>
      <c r="K99" s="9"/>
      <c r="L99" s="9"/>
      <c r="M99" s="9"/>
      <c r="N99" s="9"/>
      <c r="O99" s="9"/>
      <c r="P99" s="9"/>
      <c r="Q99" s="9"/>
      <c r="R99" s="9"/>
      <c r="S99" s="9"/>
      <c r="T99" s="9"/>
      <c r="U99" s="9"/>
      <c r="V99" s="9"/>
      <c r="W99" s="9"/>
      <c r="X99" s="9"/>
      <c r="Y99" s="9"/>
      <c r="Z99" s="9"/>
      <c r="AA99" s="9"/>
      <c r="AB99" s="9"/>
      <c r="AC99" s="9"/>
      <c r="AD99" s="9"/>
      <c r="AE99" s="9"/>
      <c r="AF99" s="10"/>
      <c r="AG99" s="5"/>
    </row>
    <row r="100" spans="2:33" x14ac:dyDescent="0.25">
      <c r="B100" s="33" t="s">
        <v>13</v>
      </c>
      <c r="C100" s="34" t="s">
        <v>27</v>
      </c>
      <c r="D100" s="34" t="s">
        <v>7</v>
      </c>
      <c r="E100" s="34" t="s">
        <v>28</v>
      </c>
      <c r="F100" s="35">
        <v>43182</v>
      </c>
      <c r="G100" s="43">
        <v>5455.2</v>
      </c>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10"/>
      <c r="AG100" s="5"/>
    </row>
    <row r="101" spans="2:33" x14ac:dyDescent="0.25">
      <c r="B101" s="36" t="s">
        <v>12</v>
      </c>
      <c r="C101" s="37" t="s">
        <v>26</v>
      </c>
      <c r="D101" s="37" t="s">
        <v>22</v>
      </c>
      <c r="E101" s="37" t="s">
        <v>29</v>
      </c>
      <c r="F101" s="38">
        <v>43185</v>
      </c>
      <c r="G101" s="44">
        <v>6399.6</v>
      </c>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10"/>
      <c r="AG101" s="5"/>
    </row>
    <row r="102" spans="2:33" x14ac:dyDescent="0.25">
      <c r="B102" s="33" t="s">
        <v>14</v>
      </c>
      <c r="C102" s="34" t="s">
        <v>24</v>
      </c>
      <c r="D102" s="34" t="s">
        <v>7</v>
      </c>
      <c r="E102" s="34" t="s">
        <v>28</v>
      </c>
      <c r="F102" s="35">
        <v>43186</v>
      </c>
      <c r="G102" s="43">
        <v>1599.8</v>
      </c>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10"/>
      <c r="AG102" s="5"/>
    </row>
    <row r="103" spans="2:33" x14ac:dyDescent="0.25">
      <c r="B103" s="36" t="s">
        <v>19</v>
      </c>
      <c r="C103" s="37" t="s">
        <v>27</v>
      </c>
      <c r="D103" s="37" t="s">
        <v>22</v>
      </c>
      <c r="E103" s="37" t="s">
        <v>31</v>
      </c>
      <c r="F103" s="38">
        <v>43186</v>
      </c>
      <c r="G103" s="44">
        <v>2045.6999999999998</v>
      </c>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10"/>
      <c r="AG103" s="5"/>
    </row>
    <row r="104" spans="2:33" x14ac:dyDescent="0.25">
      <c r="B104" s="33" t="s">
        <v>18</v>
      </c>
      <c r="C104" s="34" t="s">
        <v>27</v>
      </c>
      <c r="D104" s="34" t="s">
        <v>22</v>
      </c>
      <c r="E104" s="34" t="s">
        <v>28</v>
      </c>
      <c r="F104" s="35">
        <v>43188</v>
      </c>
      <c r="G104" s="43">
        <v>6819</v>
      </c>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10"/>
      <c r="AG104" s="5"/>
    </row>
    <row r="105" spans="2:33" x14ac:dyDescent="0.25">
      <c r="B105" s="36" t="s">
        <v>19</v>
      </c>
      <c r="C105" s="37" t="s">
        <v>27</v>
      </c>
      <c r="D105" s="37" t="s">
        <v>22</v>
      </c>
      <c r="E105" s="37" t="s">
        <v>30</v>
      </c>
      <c r="F105" s="38">
        <v>43189</v>
      </c>
      <c r="G105" s="44">
        <v>5114.25</v>
      </c>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10"/>
      <c r="AG105" s="5"/>
    </row>
    <row r="106" spans="2:33" x14ac:dyDescent="0.25">
      <c r="B106" s="33" t="s">
        <v>14</v>
      </c>
      <c r="C106" s="34" t="s">
        <v>26</v>
      </c>
      <c r="D106" s="34" t="s">
        <v>7</v>
      </c>
      <c r="E106" s="34" t="s">
        <v>29</v>
      </c>
      <c r="F106" s="35">
        <v>43192</v>
      </c>
      <c r="G106" s="43">
        <v>5599.6500000000005</v>
      </c>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10"/>
      <c r="AG106" s="5"/>
    </row>
    <row r="107" spans="2:33" x14ac:dyDescent="0.25">
      <c r="B107" s="36" t="s">
        <v>20</v>
      </c>
      <c r="C107" s="37" t="s">
        <v>34</v>
      </c>
      <c r="D107" s="37" t="s">
        <v>8</v>
      </c>
      <c r="E107" s="37" t="s">
        <v>31</v>
      </c>
      <c r="F107" s="38">
        <v>43192</v>
      </c>
      <c r="G107" s="44">
        <v>3068.5499999999997</v>
      </c>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10"/>
      <c r="AG107" s="5"/>
    </row>
    <row r="108" spans="2:33" x14ac:dyDescent="0.25">
      <c r="B108" s="33" t="s">
        <v>18</v>
      </c>
      <c r="C108" s="34" t="s">
        <v>24</v>
      </c>
      <c r="D108" s="34" t="s">
        <v>22</v>
      </c>
      <c r="E108" s="34" t="s">
        <v>29</v>
      </c>
      <c r="F108" s="35">
        <v>43194</v>
      </c>
      <c r="G108" s="43">
        <v>479.93999999999994</v>
      </c>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10"/>
      <c r="AG108" s="5"/>
    </row>
    <row r="109" spans="2:33" x14ac:dyDescent="0.25">
      <c r="B109" s="36" t="s">
        <v>11</v>
      </c>
      <c r="C109" s="37" t="s">
        <v>25</v>
      </c>
      <c r="D109" s="37" t="s">
        <v>9</v>
      </c>
      <c r="E109" s="37" t="s">
        <v>30</v>
      </c>
      <c r="F109" s="38">
        <v>43195</v>
      </c>
      <c r="G109" s="44">
        <v>2365.2999999999997</v>
      </c>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10"/>
      <c r="AG109" s="5"/>
    </row>
    <row r="110" spans="2:33" x14ac:dyDescent="0.25">
      <c r="B110" s="33" t="s">
        <v>10</v>
      </c>
      <c r="C110" s="34" t="s">
        <v>27</v>
      </c>
      <c r="D110" s="34" t="s">
        <v>8</v>
      </c>
      <c r="E110" s="34" t="s">
        <v>32</v>
      </c>
      <c r="F110" s="35">
        <v>43195</v>
      </c>
      <c r="G110" s="43">
        <v>1022.8499999999999</v>
      </c>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10"/>
      <c r="AG110" s="5"/>
    </row>
    <row r="111" spans="2:33" x14ac:dyDescent="0.25">
      <c r="B111" s="36" t="s">
        <v>14</v>
      </c>
      <c r="C111" s="37" t="s">
        <v>34</v>
      </c>
      <c r="D111" s="37" t="s">
        <v>7</v>
      </c>
      <c r="E111" s="37" t="s">
        <v>31</v>
      </c>
      <c r="F111" s="38">
        <v>43196</v>
      </c>
      <c r="G111" s="44">
        <v>1704.75</v>
      </c>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10"/>
      <c r="AG111" s="5"/>
    </row>
    <row r="112" spans="2:33" x14ac:dyDescent="0.25">
      <c r="B112" s="33" t="s">
        <v>16</v>
      </c>
      <c r="C112" s="34" t="s">
        <v>34</v>
      </c>
      <c r="D112" s="34" t="s">
        <v>7</v>
      </c>
      <c r="E112" s="34" t="s">
        <v>29</v>
      </c>
      <c r="F112" s="35">
        <v>43198</v>
      </c>
      <c r="G112" s="43">
        <v>1022.8499999999999</v>
      </c>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10"/>
      <c r="AG112" s="5"/>
    </row>
    <row r="113" spans="2:33" x14ac:dyDescent="0.25">
      <c r="B113" s="36" t="s">
        <v>16</v>
      </c>
      <c r="C113" s="37" t="s">
        <v>27</v>
      </c>
      <c r="D113" s="37" t="s">
        <v>7</v>
      </c>
      <c r="E113" s="37" t="s">
        <v>28</v>
      </c>
      <c r="F113" s="38">
        <v>43199</v>
      </c>
      <c r="G113" s="44">
        <v>6137.0999999999995</v>
      </c>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10"/>
      <c r="AG113" s="5"/>
    </row>
    <row r="114" spans="2:33" x14ac:dyDescent="0.25">
      <c r="B114" s="33" t="s">
        <v>13</v>
      </c>
      <c r="C114" s="34" t="s">
        <v>25</v>
      </c>
      <c r="D114" s="34" t="s">
        <v>7</v>
      </c>
      <c r="E114" s="34" t="s">
        <v>32</v>
      </c>
      <c r="F114" s="35">
        <v>43199</v>
      </c>
      <c r="G114" s="43">
        <v>2196.35</v>
      </c>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10"/>
      <c r="AG114" s="5"/>
    </row>
    <row r="115" spans="2:33" x14ac:dyDescent="0.25">
      <c r="B115" s="36" t="s">
        <v>18</v>
      </c>
      <c r="C115" s="37" t="s">
        <v>27</v>
      </c>
      <c r="D115" s="37" t="s">
        <v>22</v>
      </c>
      <c r="E115" s="37" t="s">
        <v>29</v>
      </c>
      <c r="F115" s="38">
        <v>43199</v>
      </c>
      <c r="G115" s="44">
        <v>3750.45</v>
      </c>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10"/>
      <c r="AG115" s="5"/>
    </row>
    <row r="116" spans="2:33" x14ac:dyDescent="0.25">
      <c r="B116" s="33" t="s">
        <v>19</v>
      </c>
      <c r="C116" s="34" t="s">
        <v>24</v>
      </c>
      <c r="D116" s="34" t="s">
        <v>22</v>
      </c>
      <c r="E116" s="34" t="s">
        <v>29</v>
      </c>
      <c r="F116" s="35">
        <v>43199</v>
      </c>
      <c r="G116" s="43">
        <v>1039.8699999999999</v>
      </c>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10"/>
      <c r="AG116" s="5"/>
    </row>
    <row r="117" spans="2:33" x14ac:dyDescent="0.25">
      <c r="B117" s="36" t="s">
        <v>10</v>
      </c>
      <c r="C117" s="37" t="s">
        <v>27</v>
      </c>
      <c r="D117" s="37" t="s">
        <v>8</v>
      </c>
      <c r="E117" s="37" t="s">
        <v>31</v>
      </c>
      <c r="F117" s="38">
        <v>43199</v>
      </c>
      <c r="G117" s="44">
        <v>2045.6999999999998</v>
      </c>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10"/>
      <c r="AG117" s="5"/>
    </row>
    <row r="118" spans="2:33" x14ac:dyDescent="0.25">
      <c r="B118" s="33" t="s">
        <v>19</v>
      </c>
      <c r="C118" s="34" t="s">
        <v>27</v>
      </c>
      <c r="D118" s="34" t="s">
        <v>22</v>
      </c>
      <c r="E118" s="34" t="s">
        <v>31</v>
      </c>
      <c r="F118" s="35">
        <v>43199</v>
      </c>
      <c r="G118" s="43">
        <v>681.9</v>
      </c>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10"/>
      <c r="AG118" s="5"/>
    </row>
    <row r="119" spans="2:33" x14ac:dyDescent="0.25">
      <c r="B119" s="36" t="s">
        <v>16</v>
      </c>
      <c r="C119" s="37" t="s">
        <v>24</v>
      </c>
      <c r="D119" s="37" t="s">
        <v>7</v>
      </c>
      <c r="E119" s="37" t="s">
        <v>30</v>
      </c>
      <c r="F119" s="38">
        <v>43200</v>
      </c>
      <c r="G119" s="44">
        <v>1039.8699999999999</v>
      </c>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10"/>
      <c r="AG119" s="5"/>
    </row>
    <row r="120" spans="2:33" x14ac:dyDescent="0.25">
      <c r="B120" s="33" t="s">
        <v>11</v>
      </c>
      <c r="C120" s="34" t="s">
        <v>25</v>
      </c>
      <c r="D120" s="34" t="s">
        <v>9</v>
      </c>
      <c r="E120" s="34" t="s">
        <v>29</v>
      </c>
      <c r="F120" s="35">
        <v>43201</v>
      </c>
      <c r="G120" s="43">
        <v>506.84999999999997</v>
      </c>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10"/>
      <c r="AG120" s="5"/>
    </row>
    <row r="121" spans="2:33" x14ac:dyDescent="0.25">
      <c r="B121" s="36" t="s">
        <v>16</v>
      </c>
      <c r="C121" s="37" t="s">
        <v>25</v>
      </c>
      <c r="D121" s="37" t="s">
        <v>7</v>
      </c>
      <c r="E121" s="37" t="s">
        <v>32</v>
      </c>
      <c r="F121" s="38">
        <v>43203</v>
      </c>
      <c r="G121" s="44">
        <v>1689.5</v>
      </c>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10"/>
      <c r="AG121" s="5"/>
    </row>
    <row r="122" spans="2:33" x14ac:dyDescent="0.25">
      <c r="B122" s="33" t="s">
        <v>10</v>
      </c>
      <c r="C122" s="34" t="s">
        <v>27</v>
      </c>
      <c r="D122" s="34" t="s">
        <v>8</v>
      </c>
      <c r="E122" s="34" t="s">
        <v>29</v>
      </c>
      <c r="F122" s="35">
        <v>43203</v>
      </c>
      <c r="G122" s="43">
        <v>4773.3</v>
      </c>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10"/>
      <c r="AG122" s="5"/>
    </row>
    <row r="123" spans="2:33" x14ac:dyDescent="0.25">
      <c r="B123" s="36" t="s">
        <v>20</v>
      </c>
      <c r="C123" s="37" t="s">
        <v>34</v>
      </c>
      <c r="D123" s="37" t="s">
        <v>8</v>
      </c>
      <c r="E123" s="37" t="s">
        <v>31</v>
      </c>
      <c r="F123" s="38">
        <v>43203</v>
      </c>
      <c r="G123" s="44">
        <v>2727.6</v>
      </c>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10"/>
      <c r="AG123" s="5"/>
    </row>
    <row r="124" spans="2:33" x14ac:dyDescent="0.25">
      <c r="B124" s="33" t="s">
        <v>18</v>
      </c>
      <c r="C124" s="34" t="s">
        <v>26</v>
      </c>
      <c r="D124" s="34" t="s">
        <v>22</v>
      </c>
      <c r="E124" s="34" t="s">
        <v>29</v>
      </c>
      <c r="F124" s="35">
        <v>43205</v>
      </c>
      <c r="G124" s="43">
        <v>3199.8</v>
      </c>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10"/>
      <c r="AG124" s="5"/>
    </row>
    <row r="125" spans="2:33" x14ac:dyDescent="0.25">
      <c r="B125" s="36" t="s">
        <v>14</v>
      </c>
      <c r="C125" s="37" t="s">
        <v>27</v>
      </c>
      <c r="D125" s="37" t="s">
        <v>7</v>
      </c>
      <c r="E125" s="37" t="s">
        <v>29</v>
      </c>
      <c r="F125" s="38">
        <v>43205</v>
      </c>
      <c r="G125" s="44">
        <v>1363.8</v>
      </c>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10"/>
      <c r="AG125" s="5"/>
    </row>
    <row r="126" spans="2:33" x14ac:dyDescent="0.25">
      <c r="B126" s="33" t="s">
        <v>19</v>
      </c>
      <c r="C126" s="34" t="s">
        <v>27</v>
      </c>
      <c r="D126" s="34" t="s">
        <v>22</v>
      </c>
      <c r="E126" s="34" t="s">
        <v>30</v>
      </c>
      <c r="F126" s="35">
        <v>43206</v>
      </c>
      <c r="G126" s="43">
        <v>2045.6999999999998</v>
      </c>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10"/>
      <c r="AG126" s="5"/>
    </row>
    <row r="127" spans="2:33" x14ac:dyDescent="0.25">
      <c r="B127" s="36" t="s">
        <v>10</v>
      </c>
      <c r="C127" s="37" t="s">
        <v>26</v>
      </c>
      <c r="D127" s="37" t="s">
        <v>8</v>
      </c>
      <c r="E127" s="37" t="s">
        <v>28</v>
      </c>
      <c r="F127" s="38">
        <v>43206</v>
      </c>
      <c r="G127" s="44">
        <v>5599.6500000000005</v>
      </c>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10"/>
      <c r="AG127" s="5"/>
    </row>
    <row r="128" spans="2:33" x14ac:dyDescent="0.25">
      <c r="B128" s="33" t="s">
        <v>19</v>
      </c>
      <c r="C128" s="34" t="s">
        <v>25</v>
      </c>
      <c r="D128" s="34" t="s">
        <v>22</v>
      </c>
      <c r="E128" s="34" t="s">
        <v>31</v>
      </c>
      <c r="F128" s="35">
        <v>43206</v>
      </c>
      <c r="G128" s="43">
        <v>2027.3999999999999</v>
      </c>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10"/>
      <c r="AG128" s="5"/>
    </row>
    <row r="129" spans="2:33" x14ac:dyDescent="0.25">
      <c r="B129" s="36" t="s">
        <v>20</v>
      </c>
      <c r="C129" s="37" t="s">
        <v>24</v>
      </c>
      <c r="D129" s="37" t="s">
        <v>7</v>
      </c>
      <c r="E129" s="37" t="s">
        <v>28</v>
      </c>
      <c r="F129" s="38">
        <v>43208</v>
      </c>
      <c r="G129" s="44">
        <v>959.87999999999988</v>
      </c>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10"/>
      <c r="AG129" s="5"/>
    </row>
    <row r="130" spans="2:33" x14ac:dyDescent="0.25">
      <c r="B130" s="33" t="s">
        <v>20</v>
      </c>
      <c r="C130" s="34" t="s">
        <v>24</v>
      </c>
      <c r="D130" s="34" t="s">
        <v>7</v>
      </c>
      <c r="E130" s="34" t="s">
        <v>31</v>
      </c>
      <c r="F130" s="35">
        <v>43208</v>
      </c>
      <c r="G130" s="43">
        <v>959.87999999999988</v>
      </c>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10"/>
      <c r="AG130" s="5"/>
    </row>
    <row r="131" spans="2:33" x14ac:dyDescent="0.25">
      <c r="B131" s="36" t="s">
        <v>16</v>
      </c>
      <c r="C131" s="37" t="s">
        <v>24</v>
      </c>
      <c r="D131" s="37" t="s">
        <v>7</v>
      </c>
      <c r="E131" s="37" t="s">
        <v>32</v>
      </c>
      <c r="F131" s="38">
        <v>43209</v>
      </c>
      <c r="G131" s="44">
        <v>639.91999999999996</v>
      </c>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10"/>
      <c r="AG131" s="5"/>
    </row>
    <row r="132" spans="2:33" x14ac:dyDescent="0.25">
      <c r="B132" s="33" t="s">
        <v>13</v>
      </c>
      <c r="C132" s="34" t="s">
        <v>27</v>
      </c>
      <c r="D132" s="34" t="s">
        <v>7</v>
      </c>
      <c r="E132" s="34" t="s">
        <v>29</v>
      </c>
      <c r="F132" s="35">
        <v>43210</v>
      </c>
      <c r="G132" s="43">
        <v>1704.75</v>
      </c>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10"/>
      <c r="AG132" s="5"/>
    </row>
    <row r="133" spans="2:33" x14ac:dyDescent="0.25">
      <c r="B133" s="36" t="s">
        <v>18</v>
      </c>
      <c r="C133" s="37" t="s">
        <v>26</v>
      </c>
      <c r="D133" s="37" t="s">
        <v>22</v>
      </c>
      <c r="E133" s="37" t="s">
        <v>29</v>
      </c>
      <c r="F133" s="38">
        <v>43212</v>
      </c>
      <c r="G133" s="44">
        <v>6399.6</v>
      </c>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10"/>
      <c r="AG133" s="5"/>
    </row>
    <row r="134" spans="2:33" x14ac:dyDescent="0.25">
      <c r="B134" s="33" t="s">
        <v>19</v>
      </c>
      <c r="C134" s="34" t="s">
        <v>27</v>
      </c>
      <c r="D134" s="34" t="s">
        <v>22</v>
      </c>
      <c r="E134" s="34" t="s">
        <v>30</v>
      </c>
      <c r="F134" s="35">
        <v>43213</v>
      </c>
      <c r="G134" s="43">
        <v>681.9</v>
      </c>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10"/>
      <c r="AG134" s="5"/>
    </row>
    <row r="135" spans="2:33" x14ac:dyDescent="0.25">
      <c r="B135" s="36" t="s">
        <v>18</v>
      </c>
      <c r="C135" s="37" t="s">
        <v>24</v>
      </c>
      <c r="D135" s="37" t="s">
        <v>22</v>
      </c>
      <c r="E135" s="37" t="s">
        <v>28</v>
      </c>
      <c r="F135" s="38">
        <v>43213</v>
      </c>
      <c r="G135" s="44">
        <v>879.89</v>
      </c>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10"/>
      <c r="AG135" s="5"/>
    </row>
    <row r="136" spans="2:33" x14ac:dyDescent="0.25">
      <c r="B136" s="33" t="s">
        <v>20</v>
      </c>
      <c r="C136" s="34" t="s">
        <v>27</v>
      </c>
      <c r="D136" s="34" t="s">
        <v>7</v>
      </c>
      <c r="E136" s="34" t="s">
        <v>32</v>
      </c>
      <c r="F136" s="35">
        <v>43213</v>
      </c>
      <c r="G136" s="43">
        <v>340.95</v>
      </c>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10"/>
      <c r="AG136" s="5"/>
    </row>
    <row r="137" spans="2:33" x14ac:dyDescent="0.25">
      <c r="B137" s="36" t="s">
        <v>10</v>
      </c>
      <c r="C137" s="37" t="s">
        <v>25</v>
      </c>
      <c r="D137" s="37" t="s">
        <v>8</v>
      </c>
      <c r="E137" s="37" t="s">
        <v>31</v>
      </c>
      <c r="F137" s="38">
        <v>43214</v>
      </c>
      <c r="G137" s="44">
        <v>2027.3999999999999</v>
      </c>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10"/>
      <c r="AG137" s="5"/>
    </row>
    <row r="138" spans="2:33" x14ac:dyDescent="0.25">
      <c r="B138" s="33" t="s">
        <v>18</v>
      </c>
      <c r="C138" s="34" t="s">
        <v>34</v>
      </c>
      <c r="D138" s="34" t="s">
        <v>22</v>
      </c>
      <c r="E138" s="34" t="s">
        <v>30</v>
      </c>
      <c r="F138" s="35">
        <v>43215</v>
      </c>
      <c r="G138" s="43">
        <v>2727.6</v>
      </c>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10"/>
      <c r="AG138" s="5"/>
    </row>
    <row r="139" spans="2:33" x14ac:dyDescent="0.25">
      <c r="B139" s="36" t="s">
        <v>20</v>
      </c>
      <c r="C139" s="37" t="s">
        <v>24</v>
      </c>
      <c r="D139" s="37" t="s">
        <v>7</v>
      </c>
      <c r="E139" s="37" t="s">
        <v>28</v>
      </c>
      <c r="F139" s="38">
        <v>43215</v>
      </c>
      <c r="G139" s="44">
        <v>799.9</v>
      </c>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10"/>
      <c r="AG139" s="5"/>
    </row>
    <row r="140" spans="2:33" x14ac:dyDescent="0.25">
      <c r="B140" s="33" t="s">
        <v>13</v>
      </c>
      <c r="C140" s="34" t="s">
        <v>27</v>
      </c>
      <c r="D140" s="34" t="s">
        <v>7</v>
      </c>
      <c r="E140" s="34" t="s">
        <v>32</v>
      </c>
      <c r="F140" s="35">
        <v>43215</v>
      </c>
      <c r="G140" s="43">
        <v>1363.8</v>
      </c>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10"/>
      <c r="AG140" s="5"/>
    </row>
    <row r="141" spans="2:33" x14ac:dyDescent="0.25">
      <c r="B141" s="36" t="s">
        <v>18</v>
      </c>
      <c r="C141" s="37" t="s">
        <v>24</v>
      </c>
      <c r="D141" s="37" t="s">
        <v>22</v>
      </c>
      <c r="E141" s="37" t="s">
        <v>29</v>
      </c>
      <c r="F141" s="38">
        <v>43215</v>
      </c>
      <c r="G141" s="44">
        <v>559.92999999999995</v>
      </c>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10"/>
      <c r="AG141" s="5"/>
    </row>
    <row r="142" spans="2:33" x14ac:dyDescent="0.25">
      <c r="B142" s="33" t="s">
        <v>14</v>
      </c>
      <c r="C142" s="34" t="s">
        <v>27</v>
      </c>
      <c r="D142" s="34" t="s">
        <v>7</v>
      </c>
      <c r="E142" s="34" t="s">
        <v>31</v>
      </c>
      <c r="F142" s="35">
        <v>43215</v>
      </c>
      <c r="G142" s="43">
        <v>2386.65</v>
      </c>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10"/>
      <c r="AG142" s="5"/>
    </row>
    <row r="143" spans="2:33" x14ac:dyDescent="0.25">
      <c r="B143" s="36" t="s">
        <v>18</v>
      </c>
      <c r="C143" s="37" t="s">
        <v>26</v>
      </c>
      <c r="D143" s="37" t="s">
        <v>22</v>
      </c>
      <c r="E143" s="37" t="s">
        <v>28</v>
      </c>
      <c r="F143" s="38">
        <v>43216</v>
      </c>
      <c r="G143" s="44">
        <v>12799.2</v>
      </c>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10"/>
      <c r="AG143" s="5"/>
    </row>
    <row r="144" spans="2:33" x14ac:dyDescent="0.25">
      <c r="B144" s="33" t="s">
        <v>12</v>
      </c>
      <c r="C144" s="34" t="s">
        <v>26</v>
      </c>
      <c r="D144" s="34" t="s">
        <v>22</v>
      </c>
      <c r="E144" s="34" t="s">
        <v>31</v>
      </c>
      <c r="F144" s="35">
        <v>43219</v>
      </c>
      <c r="G144" s="43">
        <v>6399.6</v>
      </c>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10"/>
      <c r="AG144" s="5"/>
    </row>
    <row r="145" spans="2:33" x14ac:dyDescent="0.25">
      <c r="B145" s="36" t="s">
        <v>13</v>
      </c>
      <c r="C145" s="37" t="s">
        <v>26</v>
      </c>
      <c r="D145" s="37" t="s">
        <v>7</v>
      </c>
      <c r="E145" s="37" t="s">
        <v>32</v>
      </c>
      <c r="F145" s="38">
        <v>43220</v>
      </c>
      <c r="G145" s="44">
        <v>1599.9</v>
      </c>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10"/>
      <c r="AG145" s="5"/>
    </row>
    <row r="146" spans="2:33" x14ac:dyDescent="0.25">
      <c r="B146" s="33" t="s">
        <v>12</v>
      </c>
      <c r="C146" s="34" t="s">
        <v>27</v>
      </c>
      <c r="D146" s="34" t="s">
        <v>22</v>
      </c>
      <c r="E146" s="34" t="s">
        <v>32</v>
      </c>
      <c r="F146" s="35">
        <v>43220</v>
      </c>
      <c r="G146" s="43">
        <v>3750.45</v>
      </c>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10"/>
      <c r="AG146" s="5"/>
    </row>
    <row r="147" spans="2:33" x14ac:dyDescent="0.25">
      <c r="B147" s="36" t="s">
        <v>14</v>
      </c>
      <c r="C147" s="37" t="s">
        <v>34</v>
      </c>
      <c r="D147" s="37" t="s">
        <v>7</v>
      </c>
      <c r="E147" s="37" t="s">
        <v>30</v>
      </c>
      <c r="F147" s="38">
        <v>43221</v>
      </c>
      <c r="G147" s="44">
        <v>2727.6</v>
      </c>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10"/>
      <c r="AG147" s="5"/>
    </row>
    <row r="148" spans="2:33" x14ac:dyDescent="0.25">
      <c r="B148" s="33" t="s">
        <v>12</v>
      </c>
      <c r="C148" s="34" t="s">
        <v>25</v>
      </c>
      <c r="D148" s="34" t="s">
        <v>22</v>
      </c>
      <c r="E148" s="34" t="s">
        <v>31</v>
      </c>
      <c r="F148" s="35">
        <v>43221</v>
      </c>
      <c r="G148" s="43">
        <v>2027.3999999999999</v>
      </c>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10"/>
      <c r="AG148" s="5"/>
    </row>
    <row r="149" spans="2:33" x14ac:dyDescent="0.25">
      <c r="B149" s="36" t="s">
        <v>17</v>
      </c>
      <c r="C149" s="37" t="s">
        <v>24</v>
      </c>
      <c r="D149" s="37" t="s">
        <v>9</v>
      </c>
      <c r="E149" s="37" t="s">
        <v>32</v>
      </c>
      <c r="F149" s="38">
        <v>43222</v>
      </c>
      <c r="G149" s="44">
        <v>79.989999999999995</v>
      </c>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10"/>
      <c r="AG149" s="5"/>
    </row>
    <row r="150" spans="2:33" x14ac:dyDescent="0.25">
      <c r="B150" s="33" t="s">
        <v>10</v>
      </c>
      <c r="C150" s="34" t="s">
        <v>27</v>
      </c>
      <c r="D150" s="34" t="s">
        <v>8</v>
      </c>
      <c r="E150" s="34" t="s">
        <v>30</v>
      </c>
      <c r="F150" s="35">
        <v>43227</v>
      </c>
      <c r="G150" s="43">
        <v>681.9</v>
      </c>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10"/>
      <c r="AG150" s="5"/>
    </row>
    <row r="151" spans="2:33" x14ac:dyDescent="0.25">
      <c r="B151" s="36" t="s">
        <v>19</v>
      </c>
      <c r="C151" s="37" t="s">
        <v>26</v>
      </c>
      <c r="D151" s="37" t="s">
        <v>22</v>
      </c>
      <c r="E151" s="37" t="s">
        <v>31</v>
      </c>
      <c r="F151" s="38">
        <v>43228</v>
      </c>
      <c r="G151" s="44">
        <v>4799.7000000000007</v>
      </c>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10"/>
      <c r="AG151" s="5"/>
    </row>
    <row r="152" spans="2:33" x14ac:dyDescent="0.25">
      <c r="B152" s="33" t="s">
        <v>10</v>
      </c>
      <c r="C152" s="34" t="s">
        <v>24</v>
      </c>
      <c r="D152" s="34" t="s">
        <v>8</v>
      </c>
      <c r="E152" s="34" t="s">
        <v>30</v>
      </c>
      <c r="F152" s="35">
        <v>43230</v>
      </c>
      <c r="G152" s="43">
        <v>399.95</v>
      </c>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10"/>
      <c r="AG152" s="5"/>
    </row>
    <row r="153" spans="2:33" x14ac:dyDescent="0.25">
      <c r="B153" s="36" t="s">
        <v>20</v>
      </c>
      <c r="C153" s="37" t="s">
        <v>26</v>
      </c>
      <c r="D153" s="37" t="s">
        <v>7</v>
      </c>
      <c r="E153" s="37" t="s">
        <v>32</v>
      </c>
      <c r="F153" s="38">
        <v>43231</v>
      </c>
      <c r="G153" s="44">
        <v>4799.7000000000007</v>
      </c>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10"/>
      <c r="AG153" s="5"/>
    </row>
    <row r="154" spans="2:33" x14ac:dyDescent="0.25">
      <c r="B154" s="33" t="s">
        <v>17</v>
      </c>
      <c r="C154" s="34" t="s">
        <v>27</v>
      </c>
      <c r="D154" s="34" t="s">
        <v>9</v>
      </c>
      <c r="E154" s="34" t="s">
        <v>32</v>
      </c>
      <c r="F154" s="35">
        <v>43231</v>
      </c>
      <c r="G154" s="43">
        <v>5114.25</v>
      </c>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10"/>
      <c r="AG154" s="5"/>
    </row>
    <row r="155" spans="2:33" x14ac:dyDescent="0.25">
      <c r="B155" s="36" t="s">
        <v>10</v>
      </c>
      <c r="C155" s="37" t="s">
        <v>26</v>
      </c>
      <c r="D155" s="37" t="s">
        <v>8</v>
      </c>
      <c r="E155" s="37" t="s">
        <v>30</v>
      </c>
      <c r="F155" s="38">
        <v>43233</v>
      </c>
      <c r="G155" s="44">
        <v>7199.55</v>
      </c>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10"/>
      <c r="AG155" s="5"/>
    </row>
    <row r="156" spans="2:33" x14ac:dyDescent="0.25">
      <c r="B156" s="33" t="s">
        <v>11</v>
      </c>
      <c r="C156" s="34" t="s">
        <v>26</v>
      </c>
      <c r="D156" s="34" t="s">
        <v>9</v>
      </c>
      <c r="E156" s="34" t="s">
        <v>29</v>
      </c>
      <c r="F156" s="35">
        <v>43234</v>
      </c>
      <c r="G156" s="43">
        <v>7999.5</v>
      </c>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10"/>
      <c r="AG156" s="5"/>
    </row>
    <row r="157" spans="2:33" x14ac:dyDescent="0.25">
      <c r="B157" s="36" t="s">
        <v>16</v>
      </c>
      <c r="C157" s="37" t="s">
        <v>34</v>
      </c>
      <c r="D157" s="37" t="s">
        <v>7</v>
      </c>
      <c r="E157" s="37" t="s">
        <v>31</v>
      </c>
      <c r="F157" s="38">
        <v>43234</v>
      </c>
      <c r="G157" s="44">
        <v>3750.45</v>
      </c>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10"/>
      <c r="AG157" s="5"/>
    </row>
    <row r="158" spans="2:33" x14ac:dyDescent="0.25">
      <c r="B158" s="33" t="s">
        <v>10</v>
      </c>
      <c r="C158" s="34" t="s">
        <v>24</v>
      </c>
      <c r="D158" s="34" t="s">
        <v>8</v>
      </c>
      <c r="E158" s="34" t="s">
        <v>29</v>
      </c>
      <c r="F158" s="35">
        <v>43235</v>
      </c>
      <c r="G158" s="43">
        <v>239.96999999999997</v>
      </c>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10"/>
      <c r="AG158" s="5"/>
    </row>
    <row r="159" spans="2:33" x14ac:dyDescent="0.25">
      <c r="B159" s="36" t="s">
        <v>12</v>
      </c>
      <c r="C159" s="37" t="s">
        <v>25</v>
      </c>
      <c r="D159" s="37" t="s">
        <v>22</v>
      </c>
      <c r="E159" s="37" t="s">
        <v>32</v>
      </c>
      <c r="F159" s="38">
        <v>43236</v>
      </c>
      <c r="G159" s="44">
        <v>2534.25</v>
      </c>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10"/>
      <c r="AG159" s="5"/>
    </row>
    <row r="160" spans="2:33" x14ac:dyDescent="0.25">
      <c r="B160" s="33" t="s">
        <v>19</v>
      </c>
      <c r="C160" s="34" t="s">
        <v>25</v>
      </c>
      <c r="D160" s="34" t="s">
        <v>22</v>
      </c>
      <c r="E160" s="34" t="s">
        <v>31</v>
      </c>
      <c r="F160" s="35">
        <v>43236</v>
      </c>
      <c r="G160" s="43">
        <v>2365.2999999999997</v>
      </c>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10"/>
      <c r="AG160" s="5"/>
    </row>
    <row r="161" spans="2:33" x14ac:dyDescent="0.25">
      <c r="B161" s="36" t="s">
        <v>19</v>
      </c>
      <c r="C161" s="37" t="s">
        <v>34</v>
      </c>
      <c r="D161" s="37" t="s">
        <v>22</v>
      </c>
      <c r="E161" s="37" t="s">
        <v>28</v>
      </c>
      <c r="F161" s="38">
        <v>43237</v>
      </c>
      <c r="G161" s="44">
        <v>2045.6999999999998</v>
      </c>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10"/>
      <c r="AG161" s="5"/>
    </row>
    <row r="162" spans="2:33" x14ac:dyDescent="0.25">
      <c r="B162" s="33" t="s">
        <v>16</v>
      </c>
      <c r="C162" s="34" t="s">
        <v>24</v>
      </c>
      <c r="D162" s="34" t="s">
        <v>7</v>
      </c>
      <c r="E162" s="34" t="s">
        <v>28</v>
      </c>
      <c r="F162" s="35">
        <v>43238</v>
      </c>
      <c r="G162" s="43">
        <v>559.92999999999995</v>
      </c>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10"/>
      <c r="AG162" s="5"/>
    </row>
    <row r="163" spans="2:33" x14ac:dyDescent="0.25">
      <c r="B163" s="36" t="s">
        <v>13</v>
      </c>
      <c r="C163" s="37" t="s">
        <v>34</v>
      </c>
      <c r="D163" s="37" t="s">
        <v>7</v>
      </c>
      <c r="E163" s="37" t="s">
        <v>32</v>
      </c>
      <c r="F163" s="38">
        <v>43238</v>
      </c>
      <c r="G163" s="44">
        <v>4091.3999999999996</v>
      </c>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10"/>
      <c r="AG163" s="5"/>
    </row>
    <row r="164" spans="2:33" x14ac:dyDescent="0.25">
      <c r="B164" s="33" t="s">
        <v>13</v>
      </c>
      <c r="C164" s="34" t="s">
        <v>34</v>
      </c>
      <c r="D164" s="34" t="s">
        <v>7</v>
      </c>
      <c r="E164" s="34" t="s">
        <v>29</v>
      </c>
      <c r="F164" s="35">
        <v>43238</v>
      </c>
      <c r="G164" s="43">
        <v>1704.75</v>
      </c>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10"/>
      <c r="AG164" s="5"/>
    </row>
    <row r="165" spans="2:33" x14ac:dyDescent="0.25">
      <c r="B165" s="36" t="s">
        <v>11</v>
      </c>
      <c r="C165" s="37" t="s">
        <v>27</v>
      </c>
      <c r="D165" s="37" t="s">
        <v>9</v>
      </c>
      <c r="E165" s="37" t="s">
        <v>28</v>
      </c>
      <c r="F165" s="38">
        <v>43240</v>
      </c>
      <c r="G165" s="44">
        <v>5114.25</v>
      </c>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10"/>
      <c r="AG165" s="5"/>
    </row>
    <row r="166" spans="2:33" x14ac:dyDescent="0.25">
      <c r="B166" s="33" t="s">
        <v>10</v>
      </c>
      <c r="C166" s="34" t="s">
        <v>25</v>
      </c>
      <c r="D166" s="34" t="s">
        <v>8</v>
      </c>
      <c r="E166" s="34" t="s">
        <v>29</v>
      </c>
      <c r="F166" s="35">
        <v>43240</v>
      </c>
      <c r="G166" s="43">
        <v>1858.4499999999998</v>
      </c>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10"/>
      <c r="AG166" s="5"/>
    </row>
    <row r="167" spans="2:33" x14ac:dyDescent="0.25">
      <c r="B167" s="36" t="s">
        <v>21</v>
      </c>
      <c r="C167" s="37" t="s">
        <v>27</v>
      </c>
      <c r="D167" s="37" t="s">
        <v>8</v>
      </c>
      <c r="E167" s="37" t="s">
        <v>31</v>
      </c>
      <c r="F167" s="38">
        <v>43240</v>
      </c>
      <c r="G167" s="44">
        <v>5114.25</v>
      </c>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10"/>
      <c r="AG167" s="5"/>
    </row>
    <row r="168" spans="2:33" x14ac:dyDescent="0.25">
      <c r="B168" s="33" t="s">
        <v>12</v>
      </c>
      <c r="C168" s="34" t="s">
        <v>34</v>
      </c>
      <c r="D168" s="34" t="s">
        <v>22</v>
      </c>
      <c r="E168" s="34" t="s">
        <v>28</v>
      </c>
      <c r="F168" s="35">
        <v>43241</v>
      </c>
      <c r="G168" s="43">
        <v>6137.0999999999995</v>
      </c>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10"/>
      <c r="AG168" s="5"/>
    </row>
    <row r="169" spans="2:33" x14ac:dyDescent="0.25">
      <c r="B169" s="36" t="s">
        <v>18</v>
      </c>
      <c r="C169" s="37" t="s">
        <v>27</v>
      </c>
      <c r="D169" s="37" t="s">
        <v>22</v>
      </c>
      <c r="E169" s="37" t="s">
        <v>30</v>
      </c>
      <c r="F169" s="38">
        <v>43243</v>
      </c>
      <c r="G169" s="44">
        <v>1022.8499999999999</v>
      </c>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10"/>
      <c r="AG169" s="5"/>
    </row>
    <row r="170" spans="2:33" x14ac:dyDescent="0.25">
      <c r="B170" s="33" t="s">
        <v>20</v>
      </c>
      <c r="C170" s="34" t="s">
        <v>25</v>
      </c>
      <c r="D170" s="34" t="s">
        <v>7</v>
      </c>
      <c r="E170" s="34" t="s">
        <v>30</v>
      </c>
      <c r="F170" s="35">
        <v>43244</v>
      </c>
      <c r="G170" s="43">
        <v>675.8</v>
      </c>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10"/>
      <c r="AG170" s="5"/>
    </row>
    <row r="171" spans="2:33" x14ac:dyDescent="0.25">
      <c r="B171" s="36" t="s">
        <v>19</v>
      </c>
      <c r="C171" s="37" t="s">
        <v>25</v>
      </c>
      <c r="D171" s="37" t="s">
        <v>22</v>
      </c>
      <c r="E171" s="37" t="s">
        <v>28</v>
      </c>
      <c r="F171" s="38">
        <v>43245</v>
      </c>
      <c r="G171" s="44">
        <v>1520.55</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10"/>
      <c r="AG171" s="5"/>
    </row>
    <row r="172" spans="2:33" x14ac:dyDescent="0.25">
      <c r="B172" s="33" t="s">
        <v>18</v>
      </c>
      <c r="C172" s="34" t="s">
        <v>27</v>
      </c>
      <c r="D172" s="34" t="s">
        <v>22</v>
      </c>
      <c r="E172" s="34" t="s">
        <v>32</v>
      </c>
      <c r="F172" s="35">
        <v>43247</v>
      </c>
      <c r="G172" s="43">
        <v>1022.8499999999999</v>
      </c>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10"/>
      <c r="AG172" s="5"/>
    </row>
    <row r="173" spans="2:33" x14ac:dyDescent="0.25">
      <c r="B173" s="36" t="s">
        <v>14</v>
      </c>
      <c r="C173" s="37" t="s">
        <v>26</v>
      </c>
      <c r="D173" s="37" t="s">
        <v>7</v>
      </c>
      <c r="E173" s="37" t="s">
        <v>32</v>
      </c>
      <c r="F173" s="38">
        <v>43247</v>
      </c>
      <c r="G173" s="44">
        <v>7999.5</v>
      </c>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10"/>
      <c r="AG173" s="5"/>
    </row>
    <row r="174" spans="2:33" x14ac:dyDescent="0.25">
      <c r="B174" s="33" t="s">
        <v>18</v>
      </c>
      <c r="C174" s="34" t="s">
        <v>24</v>
      </c>
      <c r="D174" s="34" t="s">
        <v>22</v>
      </c>
      <c r="E174" s="34" t="s">
        <v>30</v>
      </c>
      <c r="F174" s="35">
        <v>43248</v>
      </c>
      <c r="G174" s="43">
        <v>79.989999999999995</v>
      </c>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10"/>
      <c r="AG174" s="5"/>
    </row>
    <row r="175" spans="2:33" x14ac:dyDescent="0.25">
      <c r="B175" s="36" t="s">
        <v>19</v>
      </c>
      <c r="C175" s="37" t="s">
        <v>25</v>
      </c>
      <c r="D175" s="37" t="s">
        <v>22</v>
      </c>
      <c r="E175" s="37" t="s">
        <v>28</v>
      </c>
      <c r="F175" s="38">
        <v>43248</v>
      </c>
      <c r="G175" s="44">
        <v>1013.6999999999999</v>
      </c>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10"/>
      <c r="AG175" s="5"/>
    </row>
    <row r="176" spans="2:33" x14ac:dyDescent="0.25">
      <c r="B176" s="33" t="s">
        <v>13</v>
      </c>
      <c r="C176" s="34" t="s">
        <v>34</v>
      </c>
      <c r="D176" s="34" t="s">
        <v>7</v>
      </c>
      <c r="E176" s="34" t="s">
        <v>28</v>
      </c>
      <c r="F176" s="35">
        <v>43248</v>
      </c>
      <c r="G176" s="43">
        <v>4773.3</v>
      </c>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10"/>
      <c r="AG176" s="5"/>
    </row>
    <row r="177" spans="2:33" x14ac:dyDescent="0.25">
      <c r="B177" s="36" t="s">
        <v>16</v>
      </c>
      <c r="C177" s="37" t="s">
        <v>25</v>
      </c>
      <c r="D177" s="37" t="s">
        <v>7</v>
      </c>
      <c r="E177" s="37" t="s">
        <v>29</v>
      </c>
      <c r="F177" s="38">
        <v>43248</v>
      </c>
      <c r="G177" s="44">
        <v>1520.55</v>
      </c>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10"/>
      <c r="AG177" s="5"/>
    </row>
    <row r="178" spans="2:33" x14ac:dyDescent="0.25">
      <c r="B178" s="33" t="s">
        <v>12</v>
      </c>
      <c r="C178" s="34" t="s">
        <v>34</v>
      </c>
      <c r="D178" s="34" t="s">
        <v>22</v>
      </c>
      <c r="E178" s="34" t="s">
        <v>31</v>
      </c>
      <c r="F178" s="35">
        <v>43248</v>
      </c>
      <c r="G178" s="43">
        <v>340.95</v>
      </c>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10"/>
      <c r="AG178" s="5"/>
    </row>
    <row r="179" spans="2:33" x14ac:dyDescent="0.25">
      <c r="B179" s="36" t="s">
        <v>12</v>
      </c>
      <c r="C179" s="37" t="s">
        <v>26</v>
      </c>
      <c r="D179" s="37" t="s">
        <v>22</v>
      </c>
      <c r="E179" s="37" t="s">
        <v>30</v>
      </c>
      <c r="F179" s="38">
        <v>43251</v>
      </c>
      <c r="G179" s="44">
        <v>3999.75</v>
      </c>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10"/>
      <c r="AG179" s="5"/>
    </row>
    <row r="180" spans="2:33" x14ac:dyDescent="0.25">
      <c r="B180" s="33" t="s">
        <v>13</v>
      </c>
      <c r="C180" s="34" t="s">
        <v>25</v>
      </c>
      <c r="D180" s="34" t="s">
        <v>7</v>
      </c>
      <c r="E180" s="34" t="s">
        <v>28</v>
      </c>
      <c r="F180" s="35">
        <v>43254</v>
      </c>
      <c r="G180" s="43">
        <v>2365.2999999999997</v>
      </c>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10"/>
      <c r="AG180" s="5"/>
    </row>
    <row r="181" spans="2:33" x14ac:dyDescent="0.25">
      <c r="B181" s="36" t="s">
        <v>20</v>
      </c>
      <c r="C181" s="37" t="s">
        <v>34</v>
      </c>
      <c r="D181" s="37" t="s">
        <v>8</v>
      </c>
      <c r="E181" s="37" t="s">
        <v>29</v>
      </c>
      <c r="F181" s="38">
        <v>43255</v>
      </c>
      <c r="G181" s="44">
        <v>681.9</v>
      </c>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10"/>
      <c r="AG181" s="5"/>
    </row>
    <row r="182" spans="2:33" x14ac:dyDescent="0.25">
      <c r="B182" s="33" t="s">
        <v>16</v>
      </c>
      <c r="C182" s="34" t="s">
        <v>24</v>
      </c>
      <c r="D182" s="34" t="s">
        <v>7</v>
      </c>
      <c r="E182" s="34" t="s">
        <v>29</v>
      </c>
      <c r="F182" s="35">
        <v>43255</v>
      </c>
      <c r="G182" s="43">
        <v>959.87999999999988</v>
      </c>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10"/>
      <c r="AG182" s="5"/>
    </row>
    <row r="183" spans="2:33" x14ac:dyDescent="0.25">
      <c r="B183" s="36" t="s">
        <v>18</v>
      </c>
      <c r="C183" s="37" t="s">
        <v>34</v>
      </c>
      <c r="D183" s="37" t="s">
        <v>22</v>
      </c>
      <c r="E183" s="37" t="s">
        <v>30</v>
      </c>
      <c r="F183" s="38">
        <v>43257</v>
      </c>
      <c r="G183" s="44">
        <v>3068.5499999999997</v>
      </c>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10"/>
      <c r="AG183" s="5"/>
    </row>
    <row r="184" spans="2:33" x14ac:dyDescent="0.25">
      <c r="B184" s="33" t="s">
        <v>12</v>
      </c>
      <c r="C184" s="34" t="s">
        <v>24</v>
      </c>
      <c r="D184" s="34" t="s">
        <v>22</v>
      </c>
      <c r="E184" s="34" t="s">
        <v>32</v>
      </c>
      <c r="F184" s="35">
        <v>43258</v>
      </c>
      <c r="G184" s="43">
        <v>479.93999999999994</v>
      </c>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10"/>
      <c r="AG184" s="5"/>
    </row>
    <row r="185" spans="2:33" x14ac:dyDescent="0.25">
      <c r="B185" s="36" t="s">
        <v>19</v>
      </c>
      <c r="C185" s="37" t="s">
        <v>25</v>
      </c>
      <c r="D185" s="37" t="s">
        <v>22</v>
      </c>
      <c r="E185" s="37" t="s">
        <v>28</v>
      </c>
      <c r="F185" s="38">
        <v>43261</v>
      </c>
      <c r="G185" s="44">
        <v>3041.1</v>
      </c>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10"/>
      <c r="AG185" s="5"/>
    </row>
    <row r="186" spans="2:33" x14ac:dyDescent="0.25">
      <c r="B186" s="33" t="s">
        <v>13</v>
      </c>
      <c r="C186" s="34" t="s">
        <v>34</v>
      </c>
      <c r="D186" s="34" t="s">
        <v>7</v>
      </c>
      <c r="E186" s="34" t="s">
        <v>28</v>
      </c>
      <c r="F186" s="35">
        <v>43262</v>
      </c>
      <c r="G186" s="43">
        <v>4432.3499999999995</v>
      </c>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10"/>
      <c r="AG186" s="5"/>
    </row>
    <row r="187" spans="2:33" x14ac:dyDescent="0.25">
      <c r="B187" s="36" t="s">
        <v>11</v>
      </c>
      <c r="C187" s="37" t="s">
        <v>24</v>
      </c>
      <c r="D187" s="37" t="s">
        <v>9</v>
      </c>
      <c r="E187" s="37" t="s">
        <v>32</v>
      </c>
      <c r="F187" s="38">
        <v>43263</v>
      </c>
      <c r="G187" s="44">
        <v>1119.8599999999999</v>
      </c>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10"/>
      <c r="AG187" s="5"/>
    </row>
    <row r="188" spans="2:33" x14ac:dyDescent="0.25">
      <c r="B188" s="33" t="s">
        <v>13</v>
      </c>
      <c r="C188" s="34" t="s">
        <v>26</v>
      </c>
      <c r="D188" s="34" t="s">
        <v>7</v>
      </c>
      <c r="E188" s="34" t="s">
        <v>32</v>
      </c>
      <c r="F188" s="35">
        <v>43263</v>
      </c>
      <c r="G188" s="43">
        <v>2399.8500000000004</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10"/>
      <c r="AG188" s="5"/>
    </row>
    <row r="189" spans="2:33" x14ac:dyDescent="0.25">
      <c r="B189" s="36" t="s">
        <v>13</v>
      </c>
      <c r="C189" s="37" t="s">
        <v>27</v>
      </c>
      <c r="D189" s="37" t="s">
        <v>7</v>
      </c>
      <c r="E189" s="37" t="s">
        <v>28</v>
      </c>
      <c r="F189" s="38">
        <v>43264</v>
      </c>
      <c r="G189" s="44">
        <v>6137.0999999999995</v>
      </c>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10"/>
      <c r="AG189" s="5"/>
    </row>
    <row r="190" spans="2:33" x14ac:dyDescent="0.25">
      <c r="B190" s="33" t="s">
        <v>10</v>
      </c>
      <c r="C190" s="34" t="s">
        <v>24</v>
      </c>
      <c r="D190" s="34" t="s">
        <v>8</v>
      </c>
      <c r="E190" s="34" t="s">
        <v>31</v>
      </c>
      <c r="F190" s="35">
        <v>43264</v>
      </c>
      <c r="G190" s="43">
        <v>719.91</v>
      </c>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10"/>
      <c r="AG190" s="5"/>
    </row>
    <row r="191" spans="2:33" x14ac:dyDescent="0.25">
      <c r="B191" s="36" t="s">
        <v>18</v>
      </c>
      <c r="C191" s="37" t="s">
        <v>26</v>
      </c>
      <c r="D191" s="37" t="s">
        <v>22</v>
      </c>
      <c r="E191" s="37" t="s">
        <v>32</v>
      </c>
      <c r="F191" s="38">
        <v>43265</v>
      </c>
      <c r="G191" s="44">
        <v>7999.5</v>
      </c>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10"/>
      <c r="AG191" s="5"/>
    </row>
    <row r="192" spans="2:33" x14ac:dyDescent="0.25">
      <c r="B192" s="33" t="s">
        <v>21</v>
      </c>
      <c r="C192" s="34" t="s">
        <v>34</v>
      </c>
      <c r="D192" s="34" t="s">
        <v>8</v>
      </c>
      <c r="E192" s="34" t="s">
        <v>30</v>
      </c>
      <c r="F192" s="35">
        <v>43266</v>
      </c>
      <c r="G192" s="43">
        <v>2045.6999999999998</v>
      </c>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10"/>
      <c r="AG192" s="5"/>
    </row>
    <row r="193" spans="2:33" x14ac:dyDescent="0.25">
      <c r="B193" s="36" t="s">
        <v>19</v>
      </c>
      <c r="C193" s="37" t="s">
        <v>25</v>
      </c>
      <c r="D193" s="37" t="s">
        <v>22</v>
      </c>
      <c r="E193" s="37" t="s">
        <v>30</v>
      </c>
      <c r="F193" s="38">
        <v>43269</v>
      </c>
      <c r="G193" s="44">
        <v>1013.6999999999999</v>
      </c>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10"/>
      <c r="AG193" s="5"/>
    </row>
    <row r="194" spans="2:33" x14ac:dyDescent="0.25">
      <c r="B194" s="33" t="s">
        <v>16</v>
      </c>
      <c r="C194" s="34" t="s">
        <v>25</v>
      </c>
      <c r="D194" s="34" t="s">
        <v>7</v>
      </c>
      <c r="E194" s="34" t="s">
        <v>30</v>
      </c>
      <c r="F194" s="35">
        <v>43269</v>
      </c>
      <c r="G194" s="43">
        <v>1520.55</v>
      </c>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10"/>
      <c r="AG194" s="5"/>
    </row>
    <row r="195" spans="2:33" x14ac:dyDescent="0.25">
      <c r="B195" s="36" t="s">
        <v>21</v>
      </c>
      <c r="C195" s="37" t="s">
        <v>34</v>
      </c>
      <c r="D195" s="37" t="s">
        <v>8</v>
      </c>
      <c r="E195" s="37" t="s">
        <v>30</v>
      </c>
      <c r="F195" s="38">
        <v>43269</v>
      </c>
      <c r="G195" s="44">
        <v>3409.5</v>
      </c>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10"/>
      <c r="AG195" s="5"/>
    </row>
    <row r="196" spans="2:33" x14ac:dyDescent="0.25">
      <c r="B196" s="33" t="s">
        <v>14</v>
      </c>
      <c r="C196" s="34" t="s">
        <v>26</v>
      </c>
      <c r="D196" s="34" t="s">
        <v>7</v>
      </c>
      <c r="E196" s="34" t="s">
        <v>31</v>
      </c>
      <c r="F196" s="35">
        <v>43269</v>
      </c>
      <c r="G196" s="43">
        <v>2399.8500000000004</v>
      </c>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10"/>
      <c r="AG196" s="5"/>
    </row>
    <row r="197" spans="2:33" x14ac:dyDescent="0.25">
      <c r="B197" s="36" t="s">
        <v>14</v>
      </c>
      <c r="C197" s="37" t="s">
        <v>26</v>
      </c>
      <c r="D197" s="37" t="s">
        <v>7</v>
      </c>
      <c r="E197" s="37" t="s">
        <v>28</v>
      </c>
      <c r="F197" s="38">
        <v>43270</v>
      </c>
      <c r="G197" s="44">
        <v>15199.050000000001</v>
      </c>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10"/>
      <c r="AG197" s="5"/>
    </row>
    <row r="198" spans="2:33" x14ac:dyDescent="0.25">
      <c r="B198" s="33" t="s">
        <v>20</v>
      </c>
      <c r="C198" s="34" t="s">
        <v>27</v>
      </c>
      <c r="D198" s="34" t="s">
        <v>7</v>
      </c>
      <c r="E198" s="34" t="s">
        <v>29</v>
      </c>
      <c r="F198" s="35">
        <v>43270</v>
      </c>
      <c r="G198" s="43">
        <v>4773.3</v>
      </c>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10"/>
      <c r="AG198" s="5"/>
    </row>
    <row r="199" spans="2:33" x14ac:dyDescent="0.25">
      <c r="B199" s="36" t="s">
        <v>20</v>
      </c>
      <c r="C199" s="37" t="s">
        <v>26</v>
      </c>
      <c r="D199" s="37" t="s">
        <v>7</v>
      </c>
      <c r="E199" s="37" t="s">
        <v>29</v>
      </c>
      <c r="F199" s="38">
        <v>43272</v>
      </c>
      <c r="G199" s="44">
        <v>8799.4500000000007</v>
      </c>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10"/>
      <c r="AG199" s="5"/>
    </row>
    <row r="200" spans="2:33" x14ac:dyDescent="0.25">
      <c r="B200" s="33" t="s">
        <v>18</v>
      </c>
      <c r="C200" s="34" t="s">
        <v>26</v>
      </c>
      <c r="D200" s="34" t="s">
        <v>22</v>
      </c>
      <c r="E200" s="34" t="s">
        <v>31</v>
      </c>
      <c r="F200" s="35">
        <v>43272</v>
      </c>
      <c r="G200" s="43">
        <v>4799.7000000000007</v>
      </c>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10"/>
      <c r="AG200" s="5"/>
    </row>
    <row r="201" spans="2:33" x14ac:dyDescent="0.25">
      <c r="B201" s="36" t="s">
        <v>14</v>
      </c>
      <c r="C201" s="37" t="s">
        <v>24</v>
      </c>
      <c r="D201" s="37" t="s">
        <v>7</v>
      </c>
      <c r="E201" s="37" t="s">
        <v>29</v>
      </c>
      <c r="F201" s="38">
        <v>43273</v>
      </c>
      <c r="G201" s="44">
        <v>239.96999999999997</v>
      </c>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10"/>
      <c r="AG201" s="5"/>
    </row>
    <row r="202" spans="2:33" x14ac:dyDescent="0.25">
      <c r="B202" s="33" t="s">
        <v>10</v>
      </c>
      <c r="C202" s="34" t="s">
        <v>25</v>
      </c>
      <c r="D202" s="34" t="s">
        <v>8</v>
      </c>
      <c r="E202" s="34" t="s">
        <v>30</v>
      </c>
      <c r="F202" s="35">
        <v>43276</v>
      </c>
      <c r="G202" s="43">
        <v>844.75</v>
      </c>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10"/>
      <c r="AG202" s="5"/>
    </row>
    <row r="203" spans="2:33" x14ac:dyDescent="0.25">
      <c r="B203" s="36" t="s">
        <v>13</v>
      </c>
      <c r="C203" s="37" t="s">
        <v>26</v>
      </c>
      <c r="D203" s="37" t="s">
        <v>7</v>
      </c>
      <c r="E203" s="37" t="s">
        <v>28</v>
      </c>
      <c r="F203" s="38">
        <v>43276</v>
      </c>
      <c r="G203" s="44">
        <v>15199.050000000001</v>
      </c>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10"/>
      <c r="AG203" s="5"/>
    </row>
    <row r="204" spans="2:33" x14ac:dyDescent="0.25">
      <c r="B204" s="33" t="s">
        <v>13</v>
      </c>
      <c r="C204" s="34" t="s">
        <v>24</v>
      </c>
      <c r="D204" s="34" t="s">
        <v>7</v>
      </c>
      <c r="E204" s="34" t="s">
        <v>32</v>
      </c>
      <c r="F204" s="35">
        <v>43276</v>
      </c>
      <c r="G204" s="43">
        <v>799.9</v>
      </c>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10"/>
      <c r="AG204" s="5"/>
    </row>
    <row r="205" spans="2:33" x14ac:dyDescent="0.25">
      <c r="B205" s="36" t="s">
        <v>16</v>
      </c>
      <c r="C205" s="37" t="s">
        <v>34</v>
      </c>
      <c r="D205" s="37" t="s">
        <v>7</v>
      </c>
      <c r="E205" s="37" t="s">
        <v>31</v>
      </c>
      <c r="F205" s="38">
        <v>43276</v>
      </c>
      <c r="G205" s="44">
        <v>2727.6</v>
      </c>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10"/>
      <c r="AG205" s="5"/>
    </row>
    <row r="206" spans="2:33" x14ac:dyDescent="0.25">
      <c r="B206" s="33" t="s">
        <v>13</v>
      </c>
      <c r="C206" s="34" t="s">
        <v>26</v>
      </c>
      <c r="D206" s="34" t="s">
        <v>7</v>
      </c>
      <c r="E206" s="34" t="s">
        <v>31</v>
      </c>
      <c r="F206" s="35">
        <v>43276</v>
      </c>
      <c r="G206" s="43">
        <v>7199.55</v>
      </c>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10"/>
      <c r="AG206" s="5"/>
    </row>
    <row r="207" spans="2:33" x14ac:dyDescent="0.25">
      <c r="B207" s="36" t="s">
        <v>13</v>
      </c>
      <c r="C207" s="37" t="s">
        <v>27</v>
      </c>
      <c r="D207" s="37" t="s">
        <v>7</v>
      </c>
      <c r="E207" s="37" t="s">
        <v>32</v>
      </c>
      <c r="F207" s="38">
        <v>43277</v>
      </c>
      <c r="G207" s="44">
        <v>2045.6999999999998</v>
      </c>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10"/>
      <c r="AG207" s="5"/>
    </row>
    <row r="208" spans="2:33" x14ac:dyDescent="0.25">
      <c r="B208" s="33" t="s">
        <v>12</v>
      </c>
      <c r="C208" s="34" t="s">
        <v>24</v>
      </c>
      <c r="D208" s="34" t="s">
        <v>22</v>
      </c>
      <c r="E208" s="34" t="s">
        <v>29</v>
      </c>
      <c r="F208" s="35">
        <v>43277</v>
      </c>
      <c r="G208" s="43">
        <v>879.89</v>
      </c>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10"/>
      <c r="AG208" s="5"/>
    </row>
    <row r="209" spans="2:33" x14ac:dyDescent="0.25">
      <c r="B209" s="36" t="s">
        <v>16</v>
      </c>
      <c r="C209" s="37" t="s">
        <v>25</v>
      </c>
      <c r="D209" s="37" t="s">
        <v>7</v>
      </c>
      <c r="E209" s="37" t="s">
        <v>30</v>
      </c>
      <c r="F209" s="38">
        <v>43278</v>
      </c>
      <c r="G209" s="44">
        <v>1182.6499999999999</v>
      </c>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10"/>
      <c r="AG209" s="5"/>
    </row>
    <row r="210" spans="2:33" x14ac:dyDescent="0.25">
      <c r="B210" s="33" t="s">
        <v>18</v>
      </c>
      <c r="C210" s="34" t="s">
        <v>27</v>
      </c>
      <c r="D210" s="34" t="s">
        <v>22</v>
      </c>
      <c r="E210" s="34" t="s">
        <v>29</v>
      </c>
      <c r="F210" s="35">
        <v>43278</v>
      </c>
      <c r="G210" s="43">
        <v>681.9</v>
      </c>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10"/>
      <c r="AG210" s="5"/>
    </row>
    <row r="211" spans="2:33" x14ac:dyDescent="0.25">
      <c r="B211" s="36" t="s">
        <v>16</v>
      </c>
      <c r="C211" s="37" t="s">
        <v>27</v>
      </c>
      <c r="D211" s="37" t="s">
        <v>7</v>
      </c>
      <c r="E211" s="37" t="s">
        <v>31</v>
      </c>
      <c r="F211" s="38">
        <v>43278</v>
      </c>
      <c r="G211" s="44">
        <v>5114.25</v>
      </c>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10"/>
      <c r="AG211" s="5"/>
    </row>
    <row r="212" spans="2:33" x14ac:dyDescent="0.25">
      <c r="B212" s="33" t="s">
        <v>20</v>
      </c>
      <c r="C212" s="34" t="s">
        <v>24</v>
      </c>
      <c r="D212" s="34" t="s">
        <v>7</v>
      </c>
      <c r="E212" s="34" t="s">
        <v>28</v>
      </c>
      <c r="F212" s="35">
        <v>43279</v>
      </c>
      <c r="G212" s="43">
        <v>959.87999999999988</v>
      </c>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10"/>
      <c r="AG212" s="5"/>
    </row>
    <row r="213" spans="2:33" x14ac:dyDescent="0.25">
      <c r="B213" s="36" t="s">
        <v>11</v>
      </c>
      <c r="C213" s="37" t="s">
        <v>26</v>
      </c>
      <c r="D213" s="37" t="s">
        <v>9</v>
      </c>
      <c r="E213" s="37" t="s">
        <v>31</v>
      </c>
      <c r="F213" s="38">
        <v>43279</v>
      </c>
      <c r="G213" s="44">
        <v>11199.300000000001</v>
      </c>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10"/>
      <c r="AG213" s="5"/>
    </row>
    <row r="214" spans="2:33" x14ac:dyDescent="0.25">
      <c r="B214" s="33" t="s">
        <v>19</v>
      </c>
      <c r="C214" s="34" t="s">
        <v>26</v>
      </c>
      <c r="D214" s="34" t="s">
        <v>22</v>
      </c>
      <c r="E214" s="34" t="s">
        <v>31</v>
      </c>
      <c r="F214" s="35">
        <v>43279</v>
      </c>
      <c r="G214" s="43">
        <v>11999.25</v>
      </c>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10"/>
      <c r="AG214" s="5"/>
    </row>
    <row r="215" spans="2:33" x14ac:dyDescent="0.25">
      <c r="B215" s="36" t="s">
        <v>19</v>
      </c>
      <c r="C215" s="37" t="s">
        <v>34</v>
      </c>
      <c r="D215" s="37" t="s">
        <v>22</v>
      </c>
      <c r="E215" s="37" t="s">
        <v>31</v>
      </c>
      <c r="F215" s="38">
        <v>43279</v>
      </c>
      <c r="G215" s="44">
        <v>1363.8</v>
      </c>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10"/>
      <c r="AG215" s="5"/>
    </row>
    <row r="216" spans="2:33" x14ac:dyDescent="0.25">
      <c r="B216" s="33" t="s">
        <v>10</v>
      </c>
      <c r="C216" s="34" t="s">
        <v>26</v>
      </c>
      <c r="D216" s="34" t="s">
        <v>8</v>
      </c>
      <c r="E216" s="34" t="s">
        <v>30</v>
      </c>
      <c r="F216" s="35">
        <v>43285</v>
      </c>
      <c r="G216" s="43">
        <v>8799.4500000000007</v>
      </c>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10"/>
      <c r="AG216" s="5"/>
    </row>
    <row r="217" spans="2:33" x14ac:dyDescent="0.25">
      <c r="B217" s="36" t="s">
        <v>12</v>
      </c>
      <c r="C217" s="37" t="s">
        <v>34</v>
      </c>
      <c r="D217" s="37" t="s">
        <v>22</v>
      </c>
      <c r="E217" s="37" t="s">
        <v>32</v>
      </c>
      <c r="F217" s="38">
        <v>43285</v>
      </c>
      <c r="G217" s="44">
        <v>4773.3</v>
      </c>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10"/>
      <c r="AG217" s="5"/>
    </row>
    <row r="218" spans="2:33" x14ac:dyDescent="0.25">
      <c r="B218" s="33" t="s">
        <v>10</v>
      </c>
      <c r="C218" s="34" t="s">
        <v>24</v>
      </c>
      <c r="D218" s="34" t="s">
        <v>8</v>
      </c>
      <c r="E218" s="34" t="s">
        <v>30</v>
      </c>
      <c r="F218" s="35">
        <v>43286</v>
      </c>
      <c r="G218" s="43">
        <v>479.93999999999994</v>
      </c>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10"/>
      <c r="AG218" s="5"/>
    </row>
    <row r="219" spans="2:33" x14ac:dyDescent="0.25">
      <c r="B219" s="36" t="s">
        <v>11</v>
      </c>
      <c r="C219" s="37" t="s">
        <v>25</v>
      </c>
      <c r="D219" s="37" t="s">
        <v>9</v>
      </c>
      <c r="E219" s="37" t="s">
        <v>32</v>
      </c>
      <c r="F219" s="38">
        <v>43286</v>
      </c>
      <c r="G219" s="44">
        <v>1182.6499999999999</v>
      </c>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10"/>
      <c r="AG219" s="5"/>
    </row>
    <row r="220" spans="2:33" x14ac:dyDescent="0.25">
      <c r="B220" s="33" t="s">
        <v>10</v>
      </c>
      <c r="C220" s="34" t="s">
        <v>26</v>
      </c>
      <c r="D220" s="34" t="s">
        <v>8</v>
      </c>
      <c r="E220" s="34" t="s">
        <v>32</v>
      </c>
      <c r="F220" s="35">
        <v>43286</v>
      </c>
      <c r="G220" s="43">
        <v>1599.9</v>
      </c>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10"/>
      <c r="AG220" s="5"/>
    </row>
    <row r="221" spans="2:33" x14ac:dyDescent="0.25">
      <c r="B221" s="36" t="s">
        <v>12</v>
      </c>
      <c r="C221" s="37" t="s">
        <v>34</v>
      </c>
      <c r="D221" s="37" t="s">
        <v>22</v>
      </c>
      <c r="E221" s="37" t="s">
        <v>29</v>
      </c>
      <c r="F221" s="38">
        <v>43286</v>
      </c>
      <c r="G221" s="44">
        <v>4432.3499999999995</v>
      </c>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10"/>
      <c r="AG221" s="5"/>
    </row>
    <row r="222" spans="2:33" x14ac:dyDescent="0.25">
      <c r="B222" s="33" t="s">
        <v>16</v>
      </c>
      <c r="C222" s="34" t="s">
        <v>26</v>
      </c>
      <c r="D222" s="34" t="s">
        <v>7</v>
      </c>
      <c r="E222" s="34" t="s">
        <v>28</v>
      </c>
      <c r="F222" s="35">
        <v>43290</v>
      </c>
      <c r="G222" s="43">
        <v>11999.25</v>
      </c>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10"/>
      <c r="AG222" s="5"/>
    </row>
    <row r="223" spans="2:33" x14ac:dyDescent="0.25">
      <c r="B223" s="36" t="s">
        <v>16</v>
      </c>
      <c r="C223" s="37" t="s">
        <v>24</v>
      </c>
      <c r="D223" s="37" t="s">
        <v>7</v>
      </c>
      <c r="E223" s="37" t="s">
        <v>29</v>
      </c>
      <c r="F223" s="38">
        <v>43290</v>
      </c>
      <c r="G223" s="44">
        <v>959.87999999999988</v>
      </c>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10"/>
      <c r="AG223" s="5"/>
    </row>
    <row r="224" spans="2:33" x14ac:dyDescent="0.25">
      <c r="B224" s="33" t="s">
        <v>14</v>
      </c>
      <c r="C224" s="34" t="s">
        <v>25</v>
      </c>
      <c r="D224" s="34" t="s">
        <v>7</v>
      </c>
      <c r="E224" s="34" t="s">
        <v>31</v>
      </c>
      <c r="F224" s="35">
        <v>43292</v>
      </c>
      <c r="G224" s="43">
        <v>2365.2999999999997</v>
      </c>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10"/>
      <c r="AG224" s="5"/>
    </row>
    <row r="225" spans="2:33" x14ac:dyDescent="0.25">
      <c r="B225" s="36" t="s">
        <v>13</v>
      </c>
      <c r="C225" s="37" t="s">
        <v>34</v>
      </c>
      <c r="D225" s="37" t="s">
        <v>7</v>
      </c>
      <c r="E225" s="37" t="s">
        <v>28</v>
      </c>
      <c r="F225" s="38">
        <v>43293</v>
      </c>
      <c r="G225" s="44">
        <v>3068.5499999999997</v>
      </c>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10"/>
      <c r="AG225" s="5"/>
    </row>
    <row r="226" spans="2:33" x14ac:dyDescent="0.25">
      <c r="B226" s="33" t="s">
        <v>13</v>
      </c>
      <c r="C226" s="34" t="s">
        <v>26</v>
      </c>
      <c r="D226" s="34" t="s">
        <v>7</v>
      </c>
      <c r="E226" s="34" t="s">
        <v>28</v>
      </c>
      <c r="F226" s="35">
        <v>43294</v>
      </c>
      <c r="G226" s="43">
        <v>11199.300000000001</v>
      </c>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10"/>
      <c r="AG226" s="5"/>
    </row>
    <row r="227" spans="2:33" x14ac:dyDescent="0.25">
      <c r="B227" s="36" t="s">
        <v>11</v>
      </c>
      <c r="C227" s="37" t="s">
        <v>26</v>
      </c>
      <c r="D227" s="37" t="s">
        <v>9</v>
      </c>
      <c r="E227" s="37" t="s">
        <v>32</v>
      </c>
      <c r="F227" s="38">
        <v>43294</v>
      </c>
      <c r="G227" s="44">
        <v>2399.8500000000004</v>
      </c>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10"/>
      <c r="AG227" s="5"/>
    </row>
    <row r="228" spans="2:33" x14ac:dyDescent="0.25">
      <c r="B228" s="33" t="s">
        <v>17</v>
      </c>
      <c r="C228" s="34" t="s">
        <v>27</v>
      </c>
      <c r="D228" s="34" t="s">
        <v>9</v>
      </c>
      <c r="E228" s="34" t="s">
        <v>32</v>
      </c>
      <c r="F228" s="35">
        <v>43294</v>
      </c>
      <c r="G228" s="43">
        <v>4773.3</v>
      </c>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10"/>
      <c r="AG228" s="5"/>
    </row>
    <row r="229" spans="2:33" x14ac:dyDescent="0.25">
      <c r="B229" s="36" t="s">
        <v>20</v>
      </c>
      <c r="C229" s="37" t="s">
        <v>34</v>
      </c>
      <c r="D229" s="37" t="s">
        <v>8</v>
      </c>
      <c r="E229" s="37" t="s">
        <v>30</v>
      </c>
      <c r="F229" s="38">
        <v>43297</v>
      </c>
      <c r="G229" s="44">
        <v>2045.6999999999998</v>
      </c>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10"/>
      <c r="AG229" s="5"/>
    </row>
    <row r="230" spans="2:33" x14ac:dyDescent="0.25">
      <c r="B230" s="33" t="s">
        <v>13</v>
      </c>
      <c r="C230" s="34" t="s">
        <v>24</v>
      </c>
      <c r="D230" s="34" t="s">
        <v>7</v>
      </c>
      <c r="E230" s="34" t="s">
        <v>30</v>
      </c>
      <c r="F230" s="35">
        <v>43297</v>
      </c>
      <c r="G230" s="43">
        <v>159.97999999999999</v>
      </c>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10"/>
      <c r="AG230" s="5"/>
    </row>
    <row r="231" spans="2:33" x14ac:dyDescent="0.25">
      <c r="B231" s="36" t="s">
        <v>13</v>
      </c>
      <c r="C231" s="37" t="s">
        <v>27</v>
      </c>
      <c r="D231" s="37" t="s">
        <v>7</v>
      </c>
      <c r="E231" s="37" t="s">
        <v>29</v>
      </c>
      <c r="F231" s="38">
        <v>43297</v>
      </c>
      <c r="G231" s="44">
        <v>4432.3499999999995</v>
      </c>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10"/>
      <c r="AG231" s="5"/>
    </row>
    <row r="232" spans="2:33" x14ac:dyDescent="0.25">
      <c r="B232" s="33" t="s">
        <v>14</v>
      </c>
      <c r="C232" s="34" t="s">
        <v>34</v>
      </c>
      <c r="D232" s="34" t="s">
        <v>7</v>
      </c>
      <c r="E232" s="34" t="s">
        <v>31</v>
      </c>
      <c r="F232" s="35">
        <v>43298</v>
      </c>
      <c r="G232" s="43">
        <v>681.9</v>
      </c>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10"/>
      <c r="AG232" s="5"/>
    </row>
    <row r="233" spans="2:33" x14ac:dyDescent="0.25">
      <c r="B233" s="36" t="s">
        <v>18</v>
      </c>
      <c r="C233" s="37" t="s">
        <v>24</v>
      </c>
      <c r="D233" s="37" t="s">
        <v>22</v>
      </c>
      <c r="E233" s="37" t="s">
        <v>28</v>
      </c>
      <c r="F233" s="38">
        <v>43299</v>
      </c>
      <c r="G233" s="44">
        <v>639.91999999999996</v>
      </c>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10"/>
      <c r="AG233" s="5"/>
    </row>
    <row r="234" spans="2:33" x14ac:dyDescent="0.25">
      <c r="B234" s="33" t="s">
        <v>17</v>
      </c>
      <c r="C234" s="34" t="s">
        <v>34</v>
      </c>
      <c r="D234" s="34" t="s">
        <v>9</v>
      </c>
      <c r="E234" s="34" t="s">
        <v>32</v>
      </c>
      <c r="F234" s="35">
        <v>43300</v>
      </c>
      <c r="G234" s="43">
        <v>681.9</v>
      </c>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10"/>
      <c r="AG234" s="5"/>
    </row>
    <row r="235" spans="2:33" x14ac:dyDescent="0.25">
      <c r="B235" s="36" t="s">
        <v>13</v>
      </c>
      <c r="C235" s="37" t="s">
        <v>26</v>
      </c>
      <c r="D235" s="37" t="s">
        <v>7</v>
      </c>
      <c r="E235" s="37" t="s">
        <v>30</v>
      </c>
      <c r="F235" s="38">
        <v>43301</v>
      </c>
      <c r="G235" s="44">
        <v>11199.300000000001</v>
      </c>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10"/>
      <c r="AG235" s="5"/>
    </row>
    <row r="236" spans="2:33" x14ac:dyDescent="0.25">
      <c r="B236" s="33" t="s">
        <v>12</v>
      </c>
      <c r="C236" s="34" t="s">
        <v>34</v>
      </c>
      <c r="D236" s="34" t="s">
        <v>22</v>
      </c>
      <c r="E236" s="34" t="s">
        <v>29</v>
      </c>
      <c r="F236" s="35">
        <v>43301</v>
      </c>
      <c r="G236" s="43">
        <v>4432.3499999999995</v>
      </c>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10"/>
      <c r="AG236" s="5"/>
    </row>
    <row r="237" spans="2:33" x14ac:dyDescent="0.25">
      <c r="B237" s="36" t="s">
        <v>16</v>
      </c>
      <c r="C237" s="37" t="s">
        <v>26</v>
      </c>
      <c r="D237" s="37" t="s">
        <v>7</v>
      </c>
      <c r="E237" s="37" t="s">
        <v>30</v>
      </c>
      <c r="F237" s="38">
        <v>43304</v>
      </c>
      <c r="G237" s="44">
        <v>1599.9</v>
      </c>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10"/>
      <c r="AG237" s="5"/>
    </row>
    <row r="238" spans="2:33" x14ac:dyDescent="0.25">
      <c r="B238" s="33" t="s">
        <v>21</v>
      </c>
      <c r="C238" s="34" t="s">
        <v>26</v>
      </c>
      <c r="D238" s="34" t="s">
        <v>8</v>
      </c>
      <c r="E238" s="34" t="s">
        <v>32</v>
      </c>
      <c r="F238" s="35">
        <v>43304</v>
      </c>
      <c r="G238" s="43">
        <v>11999.25</v>
      </c>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10"/>
      <c r="AG238" s="5"/>
    </row>
    <row r="239" spans="2:33" x14ac:dyDescent="0.25">
      <c r="B239" s="36" t="s">
        <v>14</v>
      </c>
      <c r="C239" s="37" t="s">
        <v>34</v>
      </c>
      <c r="D239" s="37" t="s">
        <v>7</v>
      </c>
      <c r="E239" s="37" t="s">
        <v>32</v>
      </c>
      <c r="F239" s="38">
        <v>43304</v>
      </c>
      <c r="G239" s="44">
        <v>4432.3499999999995</v>
      </c>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10"/>
      <c r="AG239" s="5"/>
    </row>
    <row r="240" spans="2:33" x14ac:dyDescent="0.25">
      <c r="B240" s="33" t="s">
        <v>17</v>
      </c>
      <c r="C240" s="34" t="s">
        <v>24</v>
      </c>
      <c r="D240" s="34" t="s">
        <v>9</v>
      </c>
      <c r="E240" s="34" t="s">
        <v>29</v>
      </c>
      <c r="F240" s="35">
        <v>43304</v>
      </c>
      <c r="G240" s="43">
        <v>1039.8699999999999</v>
      </c>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10"/>
      <c r="AG240" s="5"/>
    </row>
    <row r="241" spans="2:33" x14ac:dyDescent="0.25">
      <c r="B241" s="36" t="s">
        <v>10</v>
      </c>
      <c r="C241" s="37" t="s">
        <v>25</v>
      </c>
      <c r="D241" s="37" t="s">
        <v>8</v>
      </c>
      <c r="E241" s="37" t="s">
        <v>28</v>
      </c>
      <c r="F241" s="38">
        <v>43305</v>
      </c>
      <c r="G241" s="44">
        <v>1182.6499999999999</v>
      </c>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10"/>
      <c r="AG241" s="5"/>
    </row>
    <row r="242" spans="2:33" x14ac:dyDescent="0.25">
      <c r="B242" s="33" t="s">
        <v>17</v>
      </c>
      <c r="C242" s="34" t="s">
        <v>34</v>
      </c>
      <c r="D242" s="34" t="s">
        <v>9</v>
      </c>
      <c r="E242" s="34" t="s">
        <v>32</v>
      </c>
      <c r="F242" s="35">
        <v>43305</v>
      </c>
      <c r="G242" s="43">
        <v>3068.5499999999997</v>
      </c>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10"/>
      <c r="AG242" s="5"/>
    </row>
    <row r="243" spans="2:33" x14ac:dyDescent="0.25">
      <c r="B243" s="36" t="s">
        <v>13</v>
      </c>
      <c r="C243" s="37" t="s">
        <v>27</v>
      </c>
      <c r="D243" s="37" t="s">
        <v>7</v>
      </c>
      <c r="E243" s="37" t="s">
        <v>31</v>
      </c>
      <c r="F243" s="38">
        <v>43305</v>
      </c>
      <c r="G243" s="44">
        <v>2386.65</v>
      </c>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10"/>
      <c r="AG243" s="5"/>
    </row>
    <row r="244" spans="2:33" x14ac:dyDescent="0.25">
      <c r="B244" s="33" t="s">
        <v>19</v>
      </c>
      <c r="C244" s="34" t="s">
        <v>27</v>
      </c>
      <c r="D244" s="34" t="s">
        <v>22</v>
      </c>
      <c r="E244" s="34" t="s">
        <v>30</v>
      </c>
      <c r="F244" s="35">
        <v>43306</v>
      </c>
      <c r="G244" s="43">
        <v>4773.3</v>
      </c>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10"/>
      <c r="AG244" s="5"/>
    </row>
    <row r="245" spans="2:33" x14ac:dyDescent="0.25">
      <c r="B245" s="36" t="s">
        <v>14</v>
      </c>
      <c r="C245" s="37" t="s">
        <v>24</v>
      </c>
      <c r="D245" s="37" t="s">
        <v>7</v>
      </c>
      <c r="E245" s="37" t="s">
        <v>30</v>
      </c>
      <c r="F245" s="38">
        <v>43307</v>
      </c>
      <c r="G245" s="44">
        <v>719.91</v>
      </c>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10"/>
      <c r="AG245" s="5"/>
    </row>
    <row r="246" spans="2:33" x14ac:dyDescent="0.25">
      <c r="B246" s="33" t="s">
        <v>11</v>
      </c>
      <c r="C246" s="34" t="s">
        <v>34</v>
      </c>
      <c r="D246" s="34" t="s">
        <v>9</v>
      </c>
      <c r="E246" s="34" t="s">
        <v>28</v>
      </c>
      <c r="F246" s="35">
        <v>43307</v>
      </c>
      <c r="G246" s="43">
        <v>4091.3999999999996</v>
      </c>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10"/>
      <c r="AG246" s="5"/>
    </row>
    <row r="247" spans="2:33" x14ac:dyDescent="0.25">
      <c r="B247" s="36" t="s">
        <v>18</v>
      </c>
      <c r="C247" s="37" t="s">
        <v>26</v>
      </c>
      <c r="D247" s="37" t="s">
        <v>22</v>
      </c>
      <c r="E247" s="37" t="s">
        <v>29</v>
      </c>
      <c r="F247" s="38">
        <v>43308</v>
      </c>
      <c r="G247" s="44">
        <v>1599.9</v>
      </c>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10"/>
      <c r="AG247" s="5"/>
    </row>
    <row r="248" spans="2:33" x14ac:dyDescent="0.25">
      <c r="B248" s="33" t="s">
        <v>13</v>
      </c>
      <c r="C248" s="34" t="s">
        <v>27</v>
      </c>
      <c r="D248" s="34" t="s">
        <v>7</v>
      </c>
      <c r="E248" s="34" t="s">
        <v>30</v>
      </c>
      <c r="F248" s="35">
        <v>43310</v>
      </c>
      <c r="G248" s="43">
        <v>1022.8499999999999</v>
      </c>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10"/>
      <c r="AG248" s="5"/>
    </row>
    <row r="249" spans="2:33" x14ac:dyDescent="0.25">
      <c r="B249" s="36" t="s">
        <v>16</v>
      </c>
      <c r="C249" s="37" t="s">
        <v>26</v>
      </c>
      <c r="D249" s="37" t="s">
        <v>7</v>
      </c>
      <c r="E249" s="37" t="s">
        <v>31</v>
      </c>
      <c r="F249" s="38">
        <v>43310</v>
      </c>
      <c r="G249" s="44">
        <v>7199.55</v>
      </c>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10"/>
      <c r="AG249" s="5"/>
    </row>
    <row r="250" spans="2:33" x14ac:dyDescent="0.25">
      <c r="B250" s="33" t="s">
        <v>12</v>
      </c>
      <c r="C250" s="34" t="s">
        <v>25</v>
      </c>
      <c r="D250" s="34" t="s">
        <v>22</v>
      </c>
      <c r="E250" s="34" t="s">
        <v>28</v>
      </c>
      <c r="F250" s="35">
        <v>43311</v>
      </c>
      <c r="G250" s="43">
        <v>2027.3999999999999</v>
      </c>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10"/>
      <c r="AG250" s="5"/>
    </row>
    <row r="251" spans="2:33" x14ac:dyDescent="0.25">
      <c r="B251" s="36" t="s">
        <v>17</v>
      </c>
      <c r="C251" s="37" t="s">
        <v>25</v>
      </c>
      <c r="D251" s="37" t="s">
        <v>9</v>
      </c>
      <c r="E251" s="37" t="s">
        <v>32</v>
      </c>
      <c r="F251" s="38">
        <v>43311</v>
      </c>
      <c r="G251" s="44">
        <v>1351.6</v>
      </c>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10"/>
      <c r="AG251" s="5"/>
    </row>
    <row r="252" spans="2:33" x14ac:dyDescent="0.25">
      <c r="B252" s="33" t="s">
        <v>18</v>
      </c>
      <c r="C252" s="34" t="s">
        <v>27</v>
      </c>
      <c r="D252" s="34" t="s">
        <v>22</v>
      </c>
      <c r="E252" s="34" t="s">
        <v>28</v>
      </c>
      <c r="F252" s="35">
        <v>43312</v>
      </c>
      <c r="G252" s="43">
        <v>4091.3999999999996</v>
      </c>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10"/>
      <c r="AG252" s="5"/>
    </row>
    <row r="253" spans="2:33" x14ac:dyDescent="0.25">
      <c r="B253" s="36" t="s">
        <v>14</v>
      </c>
      <c r="C253" s="37" t="s">
        <v>24</v>
      </c>
      <c r="D253" s="37" t="s">
        <v>7</v>
      </c>
      <c r="E253" s="37" t="s">
        <v>29</v>
      </c>
      <c r="F253" s="38">
        <v>43312</v>
      </c>
      <c r="G253" s="44">
        <v>799.9</v>
      </c>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10"/>
      <c r="AG253" s="5"/>
    </row>
    <row r="254" spans="2:33" x14ac:dyDescent="0.25">
      <c r="B254" s="33" t="s">
        <v>16</v>
      </c>
      <c r="C254" s="34" t="s">
        <v>27</v>
      </c>
      <c r="D254" s="34" t="s">
        <v>7</v>
      </c>
      <c r="E254" s="34" t="s">
        <v>28</v>
      </c>
      <c r="F254" s="35">
        <v>43313</v>
      </c>
      <c r="G254" s="43">
        <v>3750.45</v>
      </c>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10"/>
      <c r="AG254" s="5"/>
    </row>
    <row r="255" spans="2:33" x14ac:dyDescent="0.25">
      <c r="B255" s="36" t="s">
        <v>14</v>
      </c>
      <c r="C255" s="37" t="s">
        <v>34</v>
      </c>
      <c r="D255" s="37" t="s">
        <v>7</v>
      </c>
      <c r="E255" s="37" t="s">
        <v>30</v>
      </c>
      <c r="F255" s="38">
        <v>43314</v>
      </c>
      <c r="G255" s="44">
        <v>3409.5</v>
      </c>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10"/>
      <c r="AG255" s="5"/>
    </row>
    <row r="256" spans="2:33" x14ac:dyDescent="0.25">
      <c r="B256" s="33" t="s">
        <v>20</v>
      </c>
      <c r="C256" s="34" t="s">
        <v>34</v>
      </c>
      <c r="D256" s="34" t="s">
        <v>8</v>
      </c>
      <c r="E256" s="34" t="s">
        <v>28</v>
      </c>
      <c r="F256" s="35">
        <v>43317</v>
      </c>
      <c r="G256" s="43">
        <v>5114.25</v>
      </c>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10"/>
      <c r="AG256" s="5"/>
    </row>
    <row r="257" spans="2:33" x14ac:dyDescent="0.25">
      <c r="B257" s="36" t="s">
        <v>10</v>
      </c>
      <c r="C257" s="37" t="s">
        <v>25</v>
      </c>
      <c r="D257" s="37" t="s">
        <v>8</v>
      </c>
      <c r="E257" s="37" t="s">
        <v>28</v>
      </c>
      <c r="F257" s="38">
        <v>43317</v>
      </c>
      <c r="G257" s="44">
        <v>3379</v>
      </c>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10"/>
      <c r="AG257" s="5"/>
    </row>
    <row r="258" spans="2:33" x14ac:dyDescent="0.25">
      <c r="B258" s="33" t="s">
        <v>16</v>
      </c>
      <c r="C258" s="34" t="s">
        <v>27</v>
      </c>
      <c r="D258" s="34" t="s">
        <v>7</v>
      </c>
      <c r="E258" s="34" t="s">
        <v>28</v>
      </c>
      <c r="F258" s="35">
        <v>43318</v>
      </c>
      <c r="G258" s="43">
        <v>2386.65</v>
      </c>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10"/>
      <c r="AG258" s="5"/>
    </row>
    <row r="259" spans="2:33" x14ac:dyDescent="0.25">
      <c r="B259" s="36" t="s">
        <v>17</v>
      </c>
      <c r="C259" s="37" t="s">
        <v>27</v>
      </c>
      <c r="D259" s="37" t="s">
        <v>9</v>
      </c>
      <c r="E259" s="37" t="s">
        <v>32</v>
      </c>
      <c r="F259" s="38">
        <v>43318</v>
      </c>
      <c r="G259" s="44">
        <v>1363.8</v>
      </c>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10"/>
      <c r="AG259" s="5"/>
    </row>
    <row r="260" spans="2:33" x14ac:dyDescent="0.25">
      <c r="B260" s="33" t="s">
        <v>13</v>
      </c>
      <c r="C260" s="34" t="s">
        <v>25</v>
      </c>
      <c r="D260" s="34" t="s">
        <v>7</v>
      </c>
      <c r="E260" s="34" t="s">
        <v>31</v>
      </c>
      <c r="F260" s="35">
        <v>43318</v>
      </c>
      <c r="G260" s="43">
        <v>2534.25</v>
      </c>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10"/>
      <c r="AG260" s="5"/>
    </row>
    <row r="261" spans="2:33" x14ac:dyDescent="0.25">
      <c r="B261" s="36" t="s">
        <v>13</v>
      </c>
      <c r="C261" s="37" t="s">
        <v>26</v>
      </c>
      <c r="D261" s="37" t="s">
        <v>7</v>
      </c>
      <c r="E261" s="37" t="s">
        <v>30</v>
      </c>
      <c r="F261" s="38">
        <v>43319</v>
      </c>
      <c r="G261" s="44">
        <v>6399.6</v>
      </c>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10"/>
      <c r="AG261" s="5"/>
    </row>
    <row r="262" spans="2:33" x14ac:dyDescent="0.25">
      <c r="B262" s="33" t="s">
        <v>12</v>
      </c>
      <c r="C262" s="34" t="s">
        <v>26</v>
      </c>
      <c r="D262" s="34" t="s">
        <v>22</v>
      </c>
      <c r="E262" s="34" t="s">
        <v>29</v>
      </c>
      <c r="F262" s="35">
        <v>43319</v>
      </c>
      <c r="G262" s="43">
        <v>3999.75</v>
      </c>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10"/>
      <c r="AG262" s="5"/>
    </row>
    <row r="263" spans="2:33" x14ac:dyDescent="0.25">
      <c r="B263" s="36" t="s">
        <v>17</v>
      </c>
      <c r="C263" s="37" t="s">
        <v>27</v>
      </c>
      <c r="D263" s="37" t="s">
        <v>9</v>
      </c>
      <c r="E263" s="37" t="s">
        <v>30</v>
      </c>
      <c r="F263" s="38">
        <v>43321</v>
      </c>
      <c r="G263" s="44">
        <v>4773.3</v>
      </c>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10"/>
      <c r="AG263" s="5"/>
    </row>
    <row r="264" spans="2:33" x14ac:dyDescent="0.25">
      <c r="B264" s="33" t="s">
        <v>21</v>
      </c>
      <c r="C264" s="34" t="s">
        <v>27</v>
      </c>
      <c r="D264" s="34" t="s">
        <v>8</v>
      </c>
      <c r="E264" s="34" t="s">
        <v>31</v>
      </c>
      <c r="F264" s="35">
        <v>43321</v>
      </c>
      <c r="G264" s="43">
        <v>681.9</v>
      </c>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10"/>
      <c r="AG264" s="5"/>
    </row>
    <row r="265" spans="2:33" x14ac:dyDescent="0.25">
      <c r="B265" s="36" t="s">
        <v>16</v>
      </c>
      <c r="C265" s="37" t="s">
        <v>25</v>
      </c>
      <c r="D265" s="37" t="s">
        <v>7</v>
      </c>
      <c r="E265" s="37" t="s">
        <v>29</v>
      </c>
      <c r="F265" s="38">
        <v>43324</v>
      </c>
      <c r="G265" s="44">
        <v>2196.35</v>
      </c>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10"/>
      <c r="AG265" s="5"/>
    </row>
    <row r="266" spans="2:33" x14ac:dyDescent="0.25">
      <c r="B266" s="33" t="s">
        <v>12</v>
      </c>
      <c r="C266" s="34" t="s">
        <v>24</v>
      </c>
      <c r="D266" s="34" t="s">
        <v>22</v>
      </c>
      <c r="E266" s="34" t="s">
        <v>32</v>
      </c>
      <c r="F266" s="35">
        <v>43325</v>
      </c>
      <c r="G266" s="43">
        <v>239.96999999999997</v>
      </c>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10"/>
      <c r="AG266" s="5"/>
    </row>
    <row r="267" spans="2:33" x14ac:dyDescent="0.25">
      <c r="B267" s="36" t="s">
        <v>13</v>
      </c>
      <c r="C267" s="37" t="s">
        <v>27</v>
      </c>
      <c r="D267" s="37" t="s">
        <v>7</v>
      </c>
      <c r="E267" s="37" t="s">
        <v>28</v>
      </c>
      <c r="F267" s="38">
        <v>43326</v>
      </c>
      <c r="G267" s="44">
        <v>6819</v>
      </c>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10"/>
      <c r="AG267" s="5"/>
    </row>
    <row r="268" spans="2:33" x14ac:dyDescent="0.25">
      <c r="B268" s="33" t="s">
        <v>20</v>
      </c>
      <c r="C268" s="34" t="s">
        <v>26</v>
      </c>
      <c r="D268" s="34" t="s">
        <v>7</v>
      </c>
      <c r="E268" s="34" t="s">
        <v>32</v>
      </c>
      <c r="F268" s="35">
        <v>43328</v>
      </c>
      <c r="G268" s="43">
        <v>7199.55</v>
      </c>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10"/>
      <c r="AG268" s="5"/>
    </row>
    <row r="269" spans="2:33" x14ac:dyDescent="0.25">
      <c r="B269" s="36" t="s">
        <v>20</v>
      </c>
      <c r="C269" s="37" t="s">
        <v>34</v>
      </c>
      <c r="D269" s="37" t="s">
        <v>8</v>
      </c>
      <c r="E269" s="37" t="s">
        <v>32</v>
      </c>
      <c r="F269" s="38">
        <v>43329</v>
      </c>
      <c r="G269" s="44">
        <v>5114.25</v>
      </c>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10"/>
      <c r="AG269" s="5"/>
    </row>
    <row r="270" spans="2:33" x14ac:dyDescent="0.25">
      <c r="B270" s="33" t="s">
        <v>20</v>
      </c>
      <c r="C270" s="34" t="s">
        <v>26</v>
      </c>
      <c r="D270" s="34" t="s">
        <v>7</v>
      </c>
      <c r="E270" s="34" t="s">
        <v>30</v>
      </c>
      <c r="F270" s="35">
        <v>43331</v>
      </c>
      <c r="G270" s="43">
        <v>799.95</v>
      </c>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10"/>
      <c r="AG270" s="5"/>
    </row>
    <row r="271" spans="2:33" x14ac:dyDescent="0.25">
      <c r="B271" s="36" t="s">
        <v>18</v>
      </c>
      <c r="C271" s="37" t="s">
        <v>27</v>
      </c>
      <c r="D271" s="37" t="s">
        <v>22</v>
      </c>
      <c r="E271" s="37" t="s">
        <v>30</v>
      </c>
      <c r="F271" s="38">
        <v>43331</v>
      </c>
      <c r="G271" s="44">
        <v>1022.8499999999999</v>
      </c>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10"/>
      <c r="AG271" s="5"/>
    </row>
    <row r="272" spans="2:33" x14ac:dyDescent="0.25">
      <c r="B272" s="33" t="s">
        <v>18</v>
      </c>
      <c r="C272" s="34" t="s">
        <v>27</v>
      </c>
      <c r="D272" s="34" t="s">
        <v>22</v>
      </c>
      <c r="E272" s="34" t="s">
        <v>32</v>
      </c>
      <c r="F272" s="35">
        <v>43331</v>
      </c>
      <c r="G272" s="43">
        <v>3409.5</v>
      </c>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10"/>
      <c r="AG272" s="5"/>
    </row>
    <row r="273" spans="2:33" x14ac:dyDescent="0.25">
      <c r="B273" s="36" t="s">
        <v>12</v>
      </c>
      <c r="C273" s="37" t="s">
        <v>25</v>
      </c>
      <c r="D273" s="37" t="s">
        <v>22</v>
      </c>
      <c r="E273" s="37" t="s">
        <v>32</v>
      </c>
      <c r="F273" s="38">
        <v>43331</v>
      </c>
      <c r="G273" s="44">
        <v>337.9</v>
      </c>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10"/>
      <c r="AG273" s="5"/>
    </row>
    <row r="274" spans="2:33" x14ac:dyDescent="0.25">
      <c r="B274" s="33" t="s">
        <v>21</v>
      </c>
      <c r="C274" s="34" t="s">
        <v>25</v>
      </c>
      <c r="D274" s="34" t="s">
        <v>8</v>
      </c>
      <c r="E274" s="34" t="s">
        <v>31</v>
      </c>
      <c r="F274" s="35">
        <v>43332</v>
      </c>
      <c r="G274" s="43">
        <v>1351.6</v>
      </c>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10"/>
      <c r="AG274" s="5"/>
    </row>
    <row r="275" spans="2:33" x14ac:dyDescent="0.25">
      <c r="B275" s="36" t="s">
        <v>12</v>
      </c>
      <c r="C275" s="37" t="s">
        <v>27</v>
      </c>
      <c r="D275" s="37" t="s">
        <v>22</v>
      </c>
      <c r="E275" s="37" t="s">
        <v>28</v>
      </c>
      <c r="F275" s="38">
        <v>43333</v>
      </c>
      <c r="G275" s="44">
        <v>2045.6999999999998</v>
      </c>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10"/>
      <c r="AG275" s="5"/>
    </row>
    <row r="276" spans="2:33" x14ac:dyDescent="0.25">
      <c r="B276" s="33" t="s">
        <v>12</v>
      </c>
      <c r="C276" s="34" t="s">
        <v>25</v>
      </c>
      <c r="D276" s="34" t="s">
        <v>22</v>
      </c>
      <c r="E276" s="34" t="s">
        <v>32</v>
      </c>
      <c r="F276" s="35">
        <v>43333</v>
      </c>
      <c r="G276" s="43">
        <v>168.95</v>
      </c>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10"/>
      <c r="AG276" s="5"/>
    </row>
    <row r="277" spans="2:33" x14ac:dyDescent="0.25">
      <c r="B277" s="36" t="s">
        <v>18</v>
      </c>
      <c r="C277" s="37" t="s">
        <v>26</v>
      </c>
      <c r="D277" s="37" t="s">
        <v>22</v>
      </c>
      <c r="E277" s="37" t="s">
        <v>32</v>
      </c>
      <c r="F277" s="38">
        <v>43334</v>
      </c>
      <c r="G277" s="44">
        <v>10399.35</v>
      </c>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10"/>
      <c r="AG277" s="5"/>
    </row>
    <row r="278" spans="2:33" x14ac:dyDescent="0.25">
      <c r="B278" s="33" t="s">
        <v>20</v>
      </c>
      <c r="C278" s="34" t="s">
        <v>24</v>
      </c>
      <c r="D278" s="34" t="s">
        <v>7</v>
      </c>
      <c r="E278" s="34" t="s">
        <v>32</v>
      </c>
      <c r="F278" s="35">
        <v>43335</v>
      </c>
      <c r="G278" s="43">
        <v>719.91</v>
      </c>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10"/>
      <c r="AG278" s="5"/>
    </row>
    <row r="279" spans="2:33" x14ac:dyDescent="0.25">
      <c r="B279" s="36" t="s">
        <v>14</v>
      </c>
      <c r="C279" s="37" t="s">
        <v>26</v>
      </c>
      <c r="D279" s="37" t="s">
        <v>7</v>
      </c>
      <c r="E279" s="37" t="s">
        <v>30</v>
      </c>
      <c r="F279" s="38">
        <v>43336</v>
      </c>
      <c r="G279" s="44">
        <v>3199.8</v>
      </c>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10"/>
      <c r="AG279" s="5"/>
    </row>
    <row r="280" spans="2:33" x14ac:dyDescent="0.25">
      <c r="B280" s="33" t="s">
        <v>14</v>
      </c>
      <c r="C280" s="34" t="s">
        <v>24</v>
      </c>
      <c r="D280" s="34" t="s">
        <v>7</v>
      </c>
      <c r="E280" s="34" t="s">
        <v>28</v>
      </c>
      <c r="F280" s="35">
        <v>43338</v>
      </c>
      <c r="G280" s="43">
        <v>959.87999999999988</v>
      </c>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10"/>
      <c r="AG280" s="5"/>
    </row>
    <row r="281" spans="2:33" x14ac:dyDescent="0.25">
      <c r="B281" s="36" t="s">
        <v>11</v>
      </c>
      <c r="C281" s="37" t="s">
        <v>27</v>
      </c>
      <c r="D281" s="37" t="s">
        <v>9</v>
      </c>
      <c r="E281" s="37" t="s">
        <v>32</v>
      </c>
      <c r="F281" s="38">
        <v>43338</v>
      </c>
      <c r="G281" s="44">
        <v>2727.6</v>
      </c>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10"/>
      <c r="AG281" s="5"/>
    </row>
    <row r="282" spans="2:33" x14ac:dyDescent="0.25">
      <c r="B282" s="33" t="s">
        <v>17</v>
      </c>
      <c r="C282" s="34" t="s">
        <v>27</v>
      </c>
      <c r="D282" s="34" t="s">
        <v>9</v>
      </c>
      <c r="E282" s="34" t="s">
        <v>29</v>
      </c>
      <c r="F282" s="35">
        <v>43338</v>
      </c>
      <c r="G282" s="43">
        <v>1704.75</v>
      </c>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10"/>
      <c r="AG282" s="5"/>
    </row>
    <row r="283" spans="2:33" x14ac:dyDescent="0.25">
      <c r="B283" s="36" t="s">
        <v>18</v>
      </c>
      <c r="C283" s="37" t="s">
        <v>25</v>
      </c>
      <c r="D283" s="37" t="s">
        <v>22</v>
      </c>
      <c r="E283" s="37" t="s">
        <v>31</v>
      </c>
      <c r="F283" s="38">
        <v>43339</v>
      </c>
      <c r="G283" s="44">
        <v>506.84999999999997</v>
      </c>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10"/>
      <c r="AG283" s="5"/>
    </row>
    <row r="284" spans="2:33" x14ac:dyDescent="0.25">
      <c r="B284" s="33" t="s">
        <v>18</v>
      </c>
      <c r="C284" s="34" t="s">
        <v>27</v>
      </c>
      <c r="D284" s="34" t="s">
        <v>22</v>
      </c>
      <c r="E284" s="34" t="s">
        <v>31</v>
      </c>
      <c r="F284" s="35">
        <v>43339</v>
      </c>
      <c r="G284" s="43">
        <v>5114.25</v>
      </c>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10"/>
      <c r="AG284" s="5"/>
    </row>
    <row r="285" spans="2:33" x14ac:dyDescent="0.25">
      <c r="B285" s="36" t="s">
        <v>10</v>
      </c>
      <c r="C285" s="37" t="s">
        <v>24</v>
      </c>
      <c r="D285" s="37" t="s">
        <v>8</v>
      </c>
      <c r="E285" s="37" t="s">
        <v>29</v>
      </c>
      <c r="F285" s="38">
        <v>43341</v>
      </c>
      <c r="G285" s="44">
        <v>399.95</v>
      </c>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10"/>
      <c r="AG285" s="5"/>
    </row>
    <row r="286" spans="2:33" x14ac:dyDescent="0.25">
      <c r="B286" s="33" t="s">
        <v>20</v>
      </c>
      <c r="C286" s="34" t="s">
        <v>24</v>
      </c>
      <c r="D286" s="34" t="s">
        <v>7</v>
      </c>
      <c r="E286" s="34" t="s">
        <v>32</v>
      </c>
      <c r="F286" s="35">
        <v>43342</v>
      </c>
      <c r="G286" s="43">
        <v>959.87999999999988</v>
      </c>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10"/>
      <c r="AG286" s="5"/>
    </row>
    <row r="287" spans="2:33" x14ac:dyDescent="0.25">
      <c r="B287" s="36" t="s">
        <v>19</v>
      </c>
      <c r="C287" s="37" t="s">
        <v>27</v>
      </c>
      <c r="D287" s="37" t="s">
        <v>22</v>
      </c>
      <c r="E287" s="37" t="s">
        <v>28</v>
      </c>
      <c r="F287" s="38">
        <v>43346</v>
      </c>
      <c r="G287" s="44">
        <v>3750.45</v>
      </c>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10"/>
      <c r="AG287" s="5"/>
    </row>
    <row r="288" spans="2:33" x14ac:dyDescent="0.25">
      <c r="B288" s="33" t="s">
        <v>10</v>
      </c>
      <c r="C288" s="34" t="s">
        <v>24</v>
      </c>
      <c r="D288" s="34" t="s">
        <v>8</v>
      </c>
      <c r="E288" s="34" t="s">
        <v>29</v>
      </c>
      <c r="F288" s="35">
        <v>43346</v>
      </c>
      <c r="G288" s="43">
        <v>159.97999999999999</v>
      </c>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10"/>
      <c r="AG288" s="5"/>
    </row>
    <row r="289" spans="2:33" x14ac:dyDescent="0.25">
      <c r="B289" s="36" t="s">
        <v>10</v>
      </c>
      <c r="C289" s="37" t="s">
        <v>24</v>
      </c>
      <c r="D289" s="37" t="s">
        <v>8</v>
      </c>
      <c r="E289" s="37" t="s">
        <v>31</v>
      </c>
      <c r="F289" s="38">
        <v>43346</v>
      </c>
      <c r="G289" s="44">
        <v>239.96999999999997</v>
      </c>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10"/>
      <c r="AG289" s="5"/>
    </row>
    <row r="290" spans="2:33" x14ac:dyDescent="0.25">
      <c r="B290" s="33" t="s">
        <v>12</v>
      </c>
      <c r="C290" s="34" t="s">
        <v>25</v>
      </c>
      <c r="D290" s="34" t="s">
        <v>22</v>
      </c>
      <c r="E290" s="34" t="s">
        <v>31</v>
      </c>
      <c r="F290" s="35">
        <v>43346</v>
      </c>
      <c r="G290" s="43">
        <v>2027.3999999999999</v>
      </c>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10"/>
      <c r="AG290" s="5"/>
    </row>
    <row r="291" spans="2:33" x14ac:dyDescent="0.25">
      <c r="B291" s="36" t="s">
        <v>16</v>
      </c>
      <c r="C291" s="37" t="s">
        <v>34</v>
      </c>
      <c r="D291" s="37" t="s">
        <v>7</v>
      </c>
      <c r="E291" s="37" t="s">
        <v>31</v>
      </c>
      <c r="F291" s="38">
        <v>43347</v>
      </c>
      <c r="G291" s="44">
        <v>3068.5499999999997</v>
      </c>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10"/>
      <c r="AG291" s="5"/>
    </row>
    <row r="292" spans="2:33" x14ac:dyDescent="0.25">
      <c r="B292" s="33" t="s">
        <v>17</v>
      </c>
      <c r="C292" s="34" t="s">
        <v>24</v>
      </c>
      <c r="D292" s="34" t="s">
        <v>9</v>
      </c>
      <c r="E292" s="34" t="s">
        <v>28</v>
      </c>
      <c r="F292" s="35">
        <v>43348</v>
      </c>
      <c r="G292" s="43">
        <v>879.89</v>
      </c>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10"/>
      <c r="AG292" s="5"/>
    </row>
    <row r="293" spans="2:33" x14ac:dyDescent="0.25">
      <c r="B293" s="36" t="s">
        <v>10</v>
      </c>
      <c r="C293" s="37" t="s">
        <v>25</v>
      </c>
      <c r="D293" s="37" t="s">
        <v>8</v>
      </c>
      <c r="E293" s="37" t="s">
        <v>28</v>
      </c>
      <c r="F293" s="38">
        <v>43349</v>
      </c>
      <c r="G293" s="44">
        <v>1520.55</v>
      </c>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10"/>
      <c r="AG293" s="5"/>
    </row>
    <row r="294" spans="2:33" x14ac:dyDescent="0.25">
      <c r="B294" s="33" t="s">
        <v>16</v>
      </c>
      <c r="C294" s="34" t="s">
        <v>34</v>
      </c>
      <c r="D294" s="34" t="s">
        <v>7</v>
      </c>
      <c r="E294" s="34" t="s">
        <v>29</v>
      </c>
      <c r="F294" s="35">
        <v>43349</v>
      </c>
      <c r="G294" s="43">
        <v>340.95</v>
      </c>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10"/>
      <c r="AG294" s="5"/>
    </row>
    <row r="295" spans="2:33" x14ac:dyDescent="0.25">
      <c r="B295" s="36" t="s">
        <v>16</v>
      </c>
      <c r="C295" s="37" t="s">
        <v>24</v>
      </c>
      <c r="D295" s="37" t="s">
        <v>7</v>
      </c>
      <c r="E295" s="37" t="s">
        <v>30</v>
      </c>
      <c r="F295" s="38">
        <v>43352</v>
      </c>
      <c r="G295" s="44">
        <v>1039.8699999999999</v>
      </c>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10"/>
      <c r="AG295" s="5"/>
    </row>
    <row r="296" spans="2:33" x14ac:dyDescent="0.25">
      <c r="B296" s="33" t="s">
        <v>16</v>
      </c>
      <c r="C296" s="34" t="s">
        <v>27</v>
      </c>
      <c r="D296" s="34" t="s">
        <v>7</v>
      </c>
      <c r="E296" s="34" t="s">
        <v>28</v>
      </c>
      <c r="F296" s="35">
        <v>43352</v>
      </c>
      <c r="G296" s="43">
        <v>2386.65</v>
      </c>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10"/>
      <c r="AG296" s="5"/>
    </row>
    <row r="297" spans="2:33" x14ac:dyDescent="0.25">
      <c r="B297" s="36" t="s">
        <v>13</v>
      </c>
      <c r="C297" s="37" t="s">
        <v>24</v>
      </c>
      <c r="D297" s="37" t="s">
        <v>7</v>
      </c>
      <c r="E297" s="37" t="s">
        <v>31</v>
      </c>
      <c r="F297" s="38">
        <v>43352</v>
      </c>
      <c r="G297" s="44">
        <v>79.989999999999995</v>
      </c>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10"/>
      <c r="AG297" s="5"/>
    </row>
    <row r="298" spans="2:33" x14ac:dyDescent="0.25">
      <c r="B298" s="33" t="s">
        <v>14</v>
      </c>
      <c r="C298" s="34" t="s">
        <v>26</v>
      </c>
      <c r="D298" s="34" t="s">
        <v>7</v>
      </c>
      <c r="E298" s="34" t="s">
        <v>31</v>
      </c>
      <c r="F298" s="35">
        <v>43352</v>
      </c>
      <c r="G298" s="43">
        <v>3199.8</v>
      </c>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10"/>
      <c r="AG298" s="5"/>
    </row>
    <row r="299" spans="2:33" x14ac:dyDescent="0.25">
      <c r="B299" s="36" t="s">
        <v>19</v>
      </c>
      <c r="C299" s="37" t="s">
        <v>26</v>
      </c>
      <c r="D299" s="37" t="s">
        <v>22</v>
      </c>
      <c r="E299" s="37" t="s">
        <v>30</v>
      </c>
      <c r="F299" s="38">
        <v>43353</v>
      </c>
      <c r="G299" s="44">
        <v>11199.300000000001</v>
      </c>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10"/>
      <c r="AG299" s="5"/>
    </row>
    <row r="300" spans="2:33" x14ac:dyDescent="0.25">
      <c r="B300" s="33" t="s">
        <v>21</v>
      </c>
      <c r="C300" s="34" t="s">
        <v>26</v>
      </c>
      <c r="D300" s="34" t="s">
        <v>8</v>
      </c>
      <c r="E300" s="34" t="s">
        <v>29</v>
      </c>
      <c r="F300" s="35">
        <v>43353</v>
      </c>
      <c r="G300" s="43">
        <v>799.95</v>
      </c>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10"/>
      <c r="AG300" s="5"/>
    </row>
    <row r="301" spans="2:33" x14ac:dyDescent="0.25">
      <c r="B301" s="36" t="s">
        <v>13</v>
      </c>
      <c r="C301" s="37" t="s">
        <v>34</v>
      </c>
      <c r="D301" s="37" t="s">
        <v>7</v>
      </c>
      <c r="E301" s="37" t="s">
        <v>30</v>
      </c>
      <c r="F301" s="38">
        <v>43355</v>
      </c>
      <c r="G301" s="44">
        <v>1022.8499999999999</v>
      </c>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10"/>
      <c r="AG301" s="5"/>
    </row>
    <row r="302" spans="2:33" x14ac:dyDescent="0.25">
      <c r="B302" s="33" t="s">
        <v>17</v>
      </c>
      <c r="C302" s="34" t="s">
        <v>25</v>
      </c>
      <c r="D302" s="34" t="s">
        <v>9</v>
      </c>
      <c r="E302" s="34" t="s">
        <v>31</v>
      </c>
      <c r="F302" s="35">
        <v>43355</v>
      </c>
      <c r="G302" s="43">
        <v>675.8</v>
      </c>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10"/>
      <c r="AG302" s="5"/>
    </row>
    <row r="303" spans="2:33" x14ac:dyDescent="0.25">
      <c r="B303" s="36" t="s">
        <v>14</v>
      </c>
      <c r="C303" s="37" t="s">
        <v>27</v>
      </c>
      <c r="D303" s="37" t="s">
        <v>7</v>
      </c>
      <c r="E303" s="37" t="s">
        <v>31</v>
      </c>
      <c r="F303" s="38">
        <v>43355</v>
      </c>
      <c r="G303" s="44">
        <v>3409.5</v>
      </c>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10"/>
      <c r="AG303" s="5"/>
    </row>
    <row r="304" spans="2:33" x14ac:dyDescent="0.25">
      <c r="B304" s="33" t="s">
        <v>18</v>
      </c>
      <c r="C304" s="34" t="s">
        <v>27</v>
      </c>
      <c r="D304" s="34" t="s">
        <v>22</v>
      </c>
      <c r="E304" s="34" t="s">
        <v>30</v>
      </c>
      <c r="F304" s="35">
        <v>43357</v>
      </c>
      <c r="G304" s="43">
        <v>1704.75</v>
      </c>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10"/>
      <c r="AG304" s="5"/>
    </row>
    <row r="305" spans="2:33" x14ac:dyDescent="0.25">
      <c r="B305" s="36" t="s">
        <v>19</v>
      </c>
      <c r="C305" s="37" t="s">
        <v>27</v>
      </c>
      <c r="D305" s="37" t="s">
        <v>22</v>
      </c>
      <c r="E305" s="37" t="s">
        <v>30</v>
      </c>
      <c r="F305" s="38">
        <v>43357</v>
      </c>
      <c r="G305" s="44">
        <v>2727.6</v>
      </c>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10"/>
      <c r="AG305" s="5"/>
    </row>
    <row r="306" spans="2:33" x14ac:dyDescent="0.25">
      <c r="B306" s="33" t="s">
        <v>17</v>
      </c>
      <c r="C306" s="34" t="s">
        <v>26</v>
      </c>
      <c r="D306" s="34" t="s">
        <v>9</v>
      </c>
      <c r="E306" s="34" t="s">
        <v>28</v>
      </c>
      <c r="F306" s="35">
        <v>43357</v>
      </c>
      <c r="G306" s="43">
        <v>10399.35</v>
      </c>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10"/>
      <c r="AG306" s="5"/>
    </row>
    <row r="307" spans="2:33" x14ac:dyDescent="0.25">
      <c r="B307" s="36" t="s">
        <v>12</v>
      </c>
      <c r="C307" s="37" t="s">
        <v>24</v>
      </c>
      <c r="D307" s="37" t="s">
        <v>22</v>
      </c>
      <c r="E307" s="37" t="s">
        <v>28</v>
      </c>
      <c r="F307" s="38">
        <v>43357</v>
      </c>
      <c r="G307" s="44">
        <v>1039.8699999999999</v>
      </c>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10"/>
      <c r="AG307" s="5"/>
    </row>
    <row r="308" spans="2:33" x14ac:dyDescent="0.25">
      <c r="B308" s="33" t="s">
        <v>16</v>
      </c>
      <c r="C308" s="34" t="s">
        <v>26</v>
      </c>
      <c r="D308" s="34" t="s">
        <v>7</v>
      </c>
      <c r="E308" s="34" t="s">
        <v>29</v>
      </c>
      <c r="F308" s="35">
        <v>43357</v>
      </c>
      <c r="G308" s="43">
        <v>7999.5</v>
      </c>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10"/>
      <c r="AG308" s="5"/>
    </row>
    <row r="309" spans="2:33" x14ac:dyDescent="0.25">
      <c r="B309" s="36" t="s">
        <v>13</v>
      </c>
      <c r="C309" s="37" t="s">
        <v>34</v>
      </c>
      <c r="D309" s="37" t="s">
        <v>7</v>
      </c>
      <c r="E309" s="37" t="s">
        <v>30</v>
      </c>
      <c r="F309" s="38">
        <v>43360</v>
      </c>
      <c r="G309" s="44">
        <v>2727.6</v>
      </c>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10"/>
      <c r="AG309" s="5"/>
    </row>
    <row r="310" spans="2:33" x14ac:dyDescent="0.25">
      <c r="B310" s="33" t="s">
        <v>11</v>
      </c>
      <c r="C310" s="34" t="s">
        <v>27</v>
      </c>
      <c r="D310" s="34" t="s">
        <v>9</v>
      </c>
      <c r="E310" s="34" t="s">
        <v>32</v>
      </c>
      <c r="F310" s="35">
        <v>43360</v>
      </c>
      <c r="G310" s="43">
        <v>3068.5499999999997</v>
      </c>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10"/>
      <c r="AG310" s="5"/>
    </row>
    <row r="311" spans="2:33" x14ac:dyDescent="0.25">
      <c r="B311" s="36" t="s">
        <v>18</v>
      </c>
      <c r="C311" s="37" t="s">
        <v>26</v>
      </c>
      <c r="D311" s="37" t="s">
        <v>22</v>
      </c>
      <c r="E311" s="37" t="s">
        <v>29</v>
      </c>
      <c r="F311" s="38">
        <v>43360</v>
      </c>
      <c r="G311" s="44">
        <v>6399.6</v>
      </c>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10"/>
      <c r="AG311" s="5"/>
    </row>
    <row r="312" spans="2:33" x14ac:dyDescent="0.25">
      <c r="B312" s="33" t="s">
        <v>12</v>
      </c>
      <c r="C312" s="34" t="s">
        <v>26</v>
      </c>
      <c r="D312" s="34" t="s">
        <v>22</v>
      </c>
      <c r="E312" s="34" t="s">
        <v>29</v>
      </c>
      <c r="F312" s="35">
        <v>43360</v>
      </c>
      <c r="G312" s="43">
        <v>7999.5</v>
      </c>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10"/>
      <c r="AG312" s="5"/>
    </row>
    <row r="313" spans="2:33" x14ac:dyDescent="0.25">
      <c r="B313" s="36" t="s">
        <v>18</v>
      </c>
      <c r="C313" s="37" t="s">
        <v>26</v>
      </c>
      <c r="D313" s="37" t="s">
        <v>22</v>
      </c>
      <c r="E313" s="37" t="s">
        <v>29</v>
      </c>
      <c r="F313" s="38">
        <v>43362</v>
      </c>
      <c r="G313" s="44">
        <v>10399.35</v>
      </c>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10"/>
      <c r="AG313" s="5"/>
    </row>
    <row r="314" spans="2:33" x14ac:dyDescent="0.25">
      <c r="B314" s="33" t="s">
        <v>21</v>
      </c>
      <c r="C314" s="34" t="s">
        <v>27</v>
      </c>
      <c r="D314" s="34" t="s">
        <v>8</v>
      </c>
      <c r="E314" s="34" t="s">
        <v>32</v>
      </c>
      <c r="F314" s="35">
        <v>43363</v>
      </c>
      <c r="G314" s="43">
        <v>5114.25</v>
      </c>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10"/>
      <c r="AG314" s="5"/>
    </row>
    <row r="315" spans="2:33" x14ac:dyDescent="0.25">
      <c r="B315" s="36" t="s">
        <v>16</v>
      </c>
      <c r="C315" s="37" t="s">
        <v>26</v>
      </c>
      <c r="D315" s="37" t="s">
        <v>7</v>
      </c>
      <c r="E315" s="37" t="s">
        <v>29</v>
      </c>
      <c r="F315" s="38">
        <v>43363</v>
      </c>
      <c r="G315" s="44">
        <v>8799.4500000000007</v>
      </c>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10"/>
      <c r="AG315" s="5"/>
    </row>
    <row r="316" spans="2:33" x14ac:dyDescent="0.25">
      <c r="B316" s="33" t="s">
        <v>12</v>
      </c>
      <c r="C316" s="34" t="s">
        <v>24</v>
      </c>
      <c r="D316" s="34" t="s">
        <v>22</v>
      </c>
      <c r="E316" s="34" t="s">
        <v>29</v>
      </c>
      <c r="F316" s="35">
        <v>43363</v>
      </c>
      <c r="G316" s="43">
        <v>1119.8599999999999</v>
      </c>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10"/>
      <c r="AG316" s="5"/>
    </row>
    <row r="317" spans="2:33" x14ac:dyDescent="0.25">
      <c r="B317" s="36" t="s">
        <v>12</v>
      </c>
      <c r="C317" s="37" t="s">
        <v>26</v>
      </c>
      <c r="D317" s="37" t="s">
        <v>22</v>
      </c>
      <c r="E317" s="37" t="s">
        <v>30</v>
      </c>
      <c r="F317" s="38">
        <v>43364</v>
      </c>
      <c r="G317" s="44">
        <v>7999.5</v>
      </c>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10"/>
      <c r="AG317" s="5"/>
    </row>
    <row r="318" spans="2:33" x14ac:dyDescent="0.25">
      <c r="B318" s="33" t="s">
        <v>17</v>
      </c>
      <c r="C318" s="34" t="s">
        <v>34</v>
      </c>
      <c r="D318" s="34" t="s">
        <v>9</v>
      </c>
      <c r="E318" s="34" t="s">
        <v>31</v>
      </c>
      <c r="F318" s="35">
        <v>43364</v>
      </c>
      <c r="G318" s="43">
        <v>4091.3999999999996</v>
      </c>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10"/>
      <c r="AG318" s="5"/>
    </row>
    <row r="319" spans="2:33" x14ac:dyDescent="0.25">
      <c r="B319" s="36" t="s">
        <v>17</v>
      </c>
      <c r="C319" s="37" t="s">
        <v>24</v>
      </c>
      <c r="D319" s="37" t="s">
        <v>9</v>
      </c>
      <c r="E319" s="37" t="s">
        <v>29</v>
      </c>
      <c r="F319" s="38">
        <v>43367</v>
      </c>
      <c r="G319" s="44">
        <v>959.87999999999988</v>
      </c>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10"/>
      <c r="AG319" s="5"/>
    </row>
    <row r="320" spans="2:33" x14ac:dyDescent="0.25">
      <c r="B320" s="33" t="s">
        <v>12</v>
      </c>
      <c r="C320" s="34" t="s">
        <v>26</v>
      </c>
      <c r="D320" s="34" t="s">
        <v>22</v>
      </c>
      <c r="E320" s="34" t="s">
        <v>31</v>
      </c>
      <c r="F320" s="35">
        <v>43367</v>
      </c>
      <c r="G320" s="43">
        <v>3199.8</v>
      </c>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10"/>
      <c r="AG320" s="5"/>
    </row>
    <row r="321" spans="2:33" x14ac:dyDescent="0.25">
      <c r="B321" s="36" t="s">
        <v>10</v>
      </c>
      <c r="C321" s="37" t="s">
        <v>24</v>
      </c>
      <c r="D321" s="37" t="s">
        <v>8</v>
      </c>
      <c r="E321" s="37" t="s">
        <v>32</v>
      </c>
      <c r="F321" s="38">
        <v>43369</v>
      </c>
      <c r="G321" s="44">
        <v>239.96999999999997</v>
      </c>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10"/>
      <c r="AG321" s="5"/>
    </row>
    <row r="322" spans="2:33" x14ac:dyDescent="0.25">
      <c r="B322" s="33" t="s">
        <v>21</v>
      </c>
      <c r="C322" s="34" t="s">
        <v>27</v>
      </c>
      <c r="D322" s="34" t="s">
        <v>8</v>
      </c>
      <c r="E322" s="34" t="s">
        <v>30</v>
      </c>
      <c r="F322" s="35">
        <v>43370</v>
      </c>
      <c r="G322" s="43">
        <v>340.95</v>
      </c>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10"/>
      <c r="AG322" s="5"/>
    </row>
    <row r="323" spans="2:33" x14ac:dyDescent="0.25">
      <c r="B323" s="36" t="s">
        <v>17</v>
      </c>
      <c r="C323" s="37" t="s">
        <v>25</v>
      </c>
      <c r="D323" s="37" t="s">
        <v>9</v>
      </c>
      <c r="E323" s="37" t="s">
        <v>31</v>
      </c>
      <c r="F323" s="38">
        <v>43371</v>
      </c>
      <c r="G323" s="44">
        <v>675.8</v>
      </c>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10"/>
      <c r="AG323" s="5"/>
    </row>
    <row r="324" spans="2:33" x14ac:dyDescent="0.25">
      <c r="B324" s="33" t="s">
        <v>10</v>
      </c>
      <c r="C324" s="34" t="s">
        <v>26</v>
      </c>
      <c r="D324" s="34" t="s">
        <v>8</v>
      </c>
      <c r="E324" s="34" t="s">
        <v>28</v>
      </c>
      <c r="F324" s="35">
        <v>43373</v>
      </c>
      <c r="G324" s="43">
        <v>4799.7000000000007</v>
      </c>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10"/>
      <c r="AG324" s="5"/>
    </row>
    <row r="325" spans="2:33" x14ac:dyDescent="0.25">
      <c r="B325" s="36" t="s">
        <v>18</v>
      </c>
      <c r="C325" s="37" t="s">
        <v>27</v>
      </c>
      <c r="D325" s="37" t="s">
        <v>22</v>
      </c>
      <c r="E325" s="37" t="s">
        <v>31</v>
      </c>
      <c r="F325" s="38">
        <v>43373</v>
      </c>
      <c r="G325" s="44">
        <v>340.95</v>
      </c>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10"/>
      <c r="AG325" s="5"/>
    </row>
    <row r="326" spans="2:33" x14ac:dyDescent="0.25">
      <c r="B326" s="33" t="s">
        <v>10</v>
      </c>
      <c r="C326" s="34" t="s">
        <v>34</v>
      </c>
      <c r="D326" s="34" t="s">
        <v>8</v>
      </c>
      <c r="E326" s="34" t="s">
        <v>31</v>
      </c>
      <c r="F326" s="35">
        <v>43374</v>
      </c>
      <c r="G326" s="43">
        <v>4091.3999999999996</v>
      </c>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10"/>
      <c r="AG326" s="5"/>
    </row>
    <row r="327" spans="2:33" x14ac:dyDescent="0.25">
      <c r="B327" s="36" t="s">
        <v>12</v>
      </c>
      <c r="C327" s="37" t="s">
        <v>25</v>
      </c>
      <c r="D327" s="37" t="s">
        <v>22</v>
      </c>
      <c r="E327" s="37" t="s">
        <v>29</v>
      </c>
      <c r="F327" s="38">
        <v>43375</v>
      </c>
      <c r="G327" s="44">
        <v>168.95</v>
      </c>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10"/>
      <c r="AG327" s="5"/>
    </row>
    <row r="328" spans="2:33" x14ac:dyDescent="0.25">
      <c r="B328" s="33" t="s">
        <v>16</v>
      </c>
      <c r="C328" s="34" t="s">
        <v>27</v>
      </c>
      <c r="D328" s="34" t="s">
        <v>7</v>
      </c>
      <c r="E328" s="34" t="s">
        <v>28</v>
      </c>
      <c r="F328" s="35">
        <v>43376</v>
      </c>
      <c r="G328" s="43">
        <v>6478.05</v>
      </c>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10"/>
      <c r="AG328" s="5"/>
    </row>
    <row r="329" spans="2:33" x14ac:dyDescent="0.25">
      <c r="B329" s="36" t="s">
        <v>12</v>
      </c>
      <c r="C329" s="37" t="s">
        <v>27</v>
      </c>
      <c r="D329" s="37" t="s">
        <v>22</v>
      </c>
      <c r="E329" s="37" t="s">
        <v>28</v>
      </c>
      <c r="F329" s="38">
        <v>43376</v>
      </c>
      <c r="G329" s="44">
        <v>2045.6999999999998</v>
      </c>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10"/>
      <c r="AG329" s="5"/>
    </row>
    <row r="330" spans="2:33" x14ac:dyDescent="0.25">
      <c r="B330" s="33" t="s">
        <v>14</v>
      </c>
      <c r="C330" s="34" t="s">
        <v>24</v>
      </c>
      <c r="D330" s="34" t="s">
        <v>7</v>
      </c>
      <c r="E330" s="34" t="s">
        <v>28</v>
      </c>
      <c r="F330" s="35">
        <v>43376</v>
      </c>
      <c r="G330" s="43">
        <v>1599.8</v>
      </c>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10"/>
      <c r="AG330" s="5"/>
    </row>
    <row r="331" spans="2:33" x14ac:dyDescent="0.25">
      <c r="B331" s="36" t="s">
        <v>17</v>
      </c>
      <c r="C331" s="37" t="s">
        <v>25</v>
      </c>
      <c r="D331" s="37" t="s">
        <v>9</v>
      </c>
      <c r="E331" s="37" t="s">
        <v>29</v>
      </c>
      <c r="F331" s="38">
        <v>43377</v>
      </c>
      <c r="G331" s="44">
        <v>1013.6999999999999</v>
      </c>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10"/>
      <c r="AG331" s="5"/>
    </row>
    <row r="332" spans="2:33" x14ac:dyDescent="0.25">
      <c r="B332" s="33" t="s">
        <v>15</v>
      </c>
      <c r="C332" s="34" t="s">
        <v>25</v>
      </c>
      <c r="D332" s="34" t="s">
        <v>22</v>
      </c>
      <c r="E332" s="34" t="s">
        <v>28</v>
      </c>
      <c r="F332" s="35">
        <v>43380</v>
      </c>
      <c r="G332" s="43">
        <v>3041.1</v>
      </c>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10"/>
      <c r="AG332" s="5"/>
    </row>
    <row r="333" spans="2:33" x14ac:dyDescent="0.25">
      <c r="B333" s="36" t="s">
        <v>13</v>
      </c>
      <c r="C333" s="37" t="s">
        <v>24</v>
      </c>
      <c r="D333" s="37" t="s">
        <v>7</v>
      </c>
      <c r="E333" s="37" t="s">
        <v>30</v>
      </c>
      <c r="F333" s="38">
        <v>43381</v>
      </c>
      <c r="G333" s="44">
        <v>319.95999999999998</v>
      </c>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10"/>
      <c r="AG333" s="5"/>
    </row>
    <row r="334" spans="2:33" x14ac:dyDescent="0.25">
      <c r="B334" s="33" t="s">
        <v>21</v>
      </c>
      <c r="C334" s="34" t="s">
        <v>27</v>
      </c>
      <c r="D334" s="34" t="s">
        <v>8</v>
      </c>
      <c r="E334" s="34" t="s">
        <v>32</v>
      </c>
      <c r="F334" s="35">
        <v>43381</v>
      </c>
      <c r="G334" s="43">
        <v>340.95</v>
      </c>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10"/>
      <c r="AG334" s="5"/>
    </row>
    <row r="335" spans="2:33" x14ac:dyDescent="0.25">
      <c r="B335" s="36" t="s">
        <v>16</v>
      </c>
      <c r="C335" s="37" t="s">
        <v>34</v>
      </c>
      <c r="D335" s="37" t="s">
        <v>7</v>
      </c>
      <c r="E335" s="37" t="s">
        <v>29</v>
      </c>
      <c r="F335" s="38">
        <v>43381</v>
      </c>
      <c r="G335" s="44">
        <v>5114.25</v>
      </c>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10"/>
      <c r="AG335" s="5"/>
    </row>
    <row r="336" spans="2:33" x14ac:dyDescent="0.25">
      <c r="B336" s="33" t="s">
        <v>14</v>
      </c>
      <c r="C336" s="34" t="s">
        <v>25</v>
      </c>
      <c r="D336" s="34" t="s">
        <v>7</v>
      </c>
      <c r="E336" s="34" t="s">
        <v>29</v>
      </c>
      <c r="F336" s="35">
        <v>43381</v>
      </c>
      <c r="G336" s="43">
        <v>675.8</v>
      </c>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10"/>
      <c r="AG336" s="5"/>
    </row>
    <row r="337" spans="2:33" x14ac:dyDescent="0.25">
      <c r="B337" s="36" t="s">
        <v>16</v>
      </c>
      <c r="C337" s="37" t="s">
        <v>27</v>
      </c>
      <c r="D337" s="37" t="s">
        <v>7</v>
      </c>
      <c r="E337" s="37" t="s">
        <v>31</v>
      </c>
      <c r="F337" s="38">
        <v>43381</v>
      </c>
      <c r="G337" s="44">
        <v>2045.6999999999998</v>
      </c>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10"/>
      <c r="AG337" s="5"/>
    </row>
    <row r="338" spans="2:33" x14ac:dyDescent="0.25">
      <c r="B338" s="33" t="s">
        <v>17</v>
      </c>
      <c r="C338" s="34" t="s">
        <v>34</v>
      </c>
      <c r="D338" s="34" t="s">
        <v>9</v>
      </c>
      <c r="E338" s="34" t="s">
        <v>31</v>
      </c>
      <c r="F338" s="35">
        <v>43381</v>
      </c>
      <c r="G338" s="43">
        <v>2386.65</v>
      </c>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10"/>
      <c r="AG338" s="5"/>
    </row>
    <row r="339" spans="2:33" x14ac:dyDescent="0.25">
      <c r="B339" s="36" t="s">
        <v>12</v>
      </c>
      <c r="C339" s="37" t="s">
        <v>34</v>
      </c>
      <c r="D339" s="37" t="s">
        <v>22</v>
      </c>
      <c r="E339" s="37" t="s">
        <v>31</v>
      </c>
      <c r="F339" s="38">
        <v>43384</v>
      </c>
      <c r="G339" s="44">
        <v>4091.3999999999996</v>
      </c>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10"/>
      <c r="AG339" s="5"/>
    </row>
    <row r="340" spans="2:33" x14ac:dyDescent="0.25">
      <c r="B340" s="33" t="s">
        <v>12</v>
      </c>
      <c r="C340" s="34" t="s">
        <v>24</v>
      </c>
      <c r="D340" s="34" t="s">
        <v>22</v>
      </c>
      <c r="E340" s="34" t="s">
        <v>30</v>
      </c>
      <c r="F340" s="35">
        <v>43387</v>
      </c>
      <c r="G340" s="43">
        <v>79.989999999999995</v>
      </c>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10"/>
      <c r="AG340" s="5"/>
    </row>
    <row r="341" spans="2:33" x14ac:dyDescent="0.25">
      <c r="B341" s="36" t="s">
        <v>15</v>
      </c>
      <c r="C341" s="37" t="s">
        <v>27</v>
      </c>
      <c r="D341" s="37" t="s">
        <v>22</v>
      </c>
      <c r="E341" s="37" t="s">
        <v>28</v>
      </c>
      <c r="F341" s="38">
        <v>43388</v>
      </c>
      <c r="G341" s="44">
        <v>4432.3499999999995</v>
      </c>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10"/>
      <c r="AG341" s="5"/>
    </row>
    <row r="342" spans="2:33" x14ac:dyDescent="0.25">
      <c r="B342" s="33" t="s">
        <v>13</v>
      </c>
      <c r="C342" s="34" t="s">
        <v>24</v>
      </c>
      <c r="D342" s="34" t="s">
        <v>7</v>
      </c>
      <c r="E342" s="34" t="s">
        <v>32</v>
      </c>
      <c r="F342" s="35">
        <v>43388</v>
      </c>
      <c r="G342" s="43">
        <v>159.97999999999999</v>
      </c>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10"/>
      <c r="AG342" s="5"/>
    </row>
    <row r="343" spans="2:33" x14ac:dyDescent="0.25">
      <c r="B343" s="36" t="s">
        <v>17</v>
      </c>
      <c r="C343" s="37" t="s">
        <v>24</v>
      </c>
      <c r="D343" s="37" t="s">
        <v>9</v>
      </c>
      <c r="E343" s="37" t="s">
        <v>30</v>
      </c>
      <c r="F343" s="38">
        <v>43389</v>
      </c>
      <c r="G343" s="44">
        <v>319.95999999999998</v>
      </c>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10"/>
      <c r="AG343" s="5"/>
    </row>
    <row r="344" spans="2:33" x14ac:dyDescent="0.25">
      <c r="B344" s="33" t="s">
        <v>20</v>
      </c>
      <c r="C344" s="34" t="s">
        <v>24</v>
      </c>
      <c r="D344" s="34" t="s">
        <v>7</v>
      </c>
      <c r="E344" s="34" t="s">
        <v>29</v>
      </c>
      <c r="F344" s="35">
        <v>43389</v>
      </c>
      <c r="G344" s="43">
        <v>79.989999999999995</v>
      </c>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10"/>
      <c r="AG344" s="5"/>
    </row>
    <row r="345" spans="2:33" x14ac:dyDescent="0.25">
      <c r="B345" s="36" t="s">
        <v>20</v>
      </c>
      <c r="C345" s="37" t="s">
        <v>27</v>
      </c>
      <c r="D345" s="37" t="s">
        <v>7</v>
      </c>
      <c r="E345" s="37" t="s">
        <v>29</v>
      </c>
      <c r="F345" s="38">
        <v>43389</v>
      </c>
      <c r="G345" s="44">
        <v>1022.8499999999999</v>
      </c>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10"/>
      <c r="AG345" s="5"/>
    </row>
    <row r="346" spans="2:33" x14ac:dyDescent="0.25">
      <c r="B346" s="33" t="s">
        <v>10</v>
      </c>
      <c r="C346" s="34" t="s">
        <v>25</v>
      </c>
      <c r="D346" s="34" t="s">
        <v>8</v>
      </c>
      <c r="E346" s="34" t="s">
        <v>30</v>
      </c>
      <c r="F346" s="35">
        <v>43394</v>
      </c>
      <c r="G346" s="43">
        <v>1182.6499999999999</v>
      </c>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10"/>
      <c r="AG346" s="5"/>
    </row>
    <row r="347" spans="2:33" x14ac:dyDescent="0.25">
      <c r="B347" s="36" t="s">
        <v>13</v>
      </c>
      <c r="C347" s="37" t="s">
        <v>34</v>
      </c>
      <c r="D347" s="37" t="s">
        <v>7</v>
      </c>
      <c r="E347" s="37" t="s">
        <v>30</v>
      </c>
      <c r="F347" s="38">
        <v>43395</v>
      </c>
      <c r="G347" s="44">
        <v>2045.6999999999998</v>
      </c>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10"/>
      <c r="AG347" s="5"/>
    </row>
    <row r="348" spans="2:33" x14ac:dyDescent="0.25">
      <c r="B348" s="33" t="s">
        <v>13</v>
      </c>
      <c r="C348" s="34" t="s">
        <v>27</v>
      </c>
      <c r="D348" s="34" t="s">
        <v>7</v>
      </c>
      <c r="E348" s="34" t="s">
        <v>30</v>
      </c>
      <c r="F348" s="35">
        <v>43395</v>
      </c>
      <c r="G348" s="43">
        <v>2386.65</v>
      </c>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10"/>
      <c r="AG348" s="5"/>
    </row>
    <row r="349" spans="2:33" x14ac:dyDescent="0.25">
      <c r="B349" s="36" t="s">
        <v>17</v>
      </c>
      <c r="C349" s="37" t="s">
        <v>26</v>
      </c>
      <c r="D349" s="37" t="s">
        <v>9</v>
      </c>
      <c r="E349" s="37" t="s">
        <v>30</v>
      </c>
      <c r="F349" s="38">
        <v>43395</v>
      </c>
      <c r="G349" s="44">
        <v>10399.35</v>
      </c>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10"/>
      <c r="AG349" s="5"/>
    </row>
    <row r="350" spans="2:33" x14ac:dyDescent="0.25">
      <c r="B350" s="33" t="s">
        <v>11</v>
      </c>
      <c r="C350" s="34" t="s">
        <v>26</v>
      </c>
      <c r="D350" s="34" t="s">
        <v>9</v>
      </c>
      <c r="E350" s="34" t="s">
        <v>32</v>
      </c>
      <c r="F350" s="35">
        <v>43395</v>
      </c>
      <c r="G350" s="43">
        <v>3999.75</v>
      </c>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10"/>
      <c r="AG350" s="5"/>
    </row>
    <row r="351" spans="2:33" x14ac:dyDescent="0.25">
      <c r="B351" s="36" t="s">
        <v>13</v>
      </c>
      <c r="C351" s="37" t="s">
        <v>25</v>
      </c>
      <c r="D351" s="37" t="s">
        <v>7</v>
      </c>
      <c r="E351" s="37" t="s">
        <v>29</v>
      </c>
      <c r="F351" s="38">
        <v>43395</v>
      </c>
      <c r="G351" s="44">
        <v>337.9</v>
      </c>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10"/>
      <c r="AG351" s="5"/>
    </row>
    <row r="352" spans="2:33" x14ac:dyDescent="0.25">
      <c r="B352" s="33" t="s">
        <v>13</v>
      </c>
      <c r="C352" s="34" t="s">
        <v>27</v>
      </c>
      <c r="D352" s="34" t="s">
        <v>7</v>
      </c>
      <c r="E352" s="34" t="s">
        <v>31</v>
      </c>
      <c r="F352" s="35">
        <v>43395</v>
      </c>
      <c r="G352" s="43">
        <v>681.9</v>
      </c>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10"/>
      <c r="AG352" s="5"/>
    </row>
    <row r="353" spans="2:33" x14ac:dyDescent="0.25">
      <c r="B353" s="36" t="s">
        <v>18</v>
      </c>
      <c r="C353" s="37" t="s">
        <v>24</v>
      </c>
      <c r="D353" s="37" t="s">
        <v>22</v>
      </c>
      <c r="E353" s="37" t="s">
        <v>31</v>
      </c>
      <c r="F353" s="38">
        <v>43396</v>
      </c>
      <c r="G353" s="44">
        <v>959.87999999999988</v>
      </c>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10"/>
      <c r="AG353" s="5"/>
    </row>
    <row r="354" spans="2:33" x14ac:dyDescent="0.25">
      <c r="B354" s="33" t="s">
        <v>19</v>
      </c>
      <c r="C354" s="34" t="s">
        <v>24</v>
      </c>
      <c r="D354" s="34" t="s">
        <v>22</v>
      </c>
      <c r="E354" s="34" t="s">
        <v>30</v>
      </c>
      <c r="F354" s="35">
        <v>43398</v>
      </c>
      <c r="G354" s="43">
        <v>959.87999999999988</v>
      </c>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10"/>
      <c r="AG354" s="5"/>
    </row>
    <row r="355" spans="2:33" x14ac:dyDescent="0.25">
      <c r="B355" s="36" t="s">
        <v>12</v>
      </c>
      <c r="C355" s="37" t="s">
        <v>26</v>
      </c>
      <c r="D355" s="37" t="s">
        <v>22</v>
      </c>
      <c r="E355" s="37" t="s">
        <v>30</v>
      </c>
      <c r="F355" s="38">
        <v>43398</v>
      </c>
      <c r="G355" s="44">
        <v>1599.9</v>
      </c>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10"/>
      <c r="AG355" s="5"/>
    </row>
    <row r="356" spans="2:33" x14ac:dyDescent="0.25">
      <c r="B356" s="33" t="s">
        <v>11</v>
      </c>
      <c r="C356" s="34" t="s">
        <v>34</v>
      </c>
      <c r="D356" s="34" t="s">
        <v>9</v>
      </c>
      <c r="E356" s="34" t="s">
        <v>32</v>
      </c>
      <c r="F356" s="35">
        <v>43398</v>
      </c>
      <c r="G356" s="43">
        <v>1704.75</v>
      </c>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10"/>
      <c r="AG356" s="5"/>
    </row>
    <row r="357" spans="2:33" x14ac:dyDescent="0.25">
      <c r="B357" s="36" t="s">
        <v>11</v>
      </c>
      <c r="C357" s="37" t="s">
        <v>27</v>
      </c>
      <c r="D357" s="37" t="s">
        <v>9</v>
      </c>
      <c r="E357" s="37" t="s">
        <v>29</v>
      </c>
      <c r="F357" s="38">
        <v>43398</v>
      </c>
      <c r="G357" s="44">
        <v>2727.6</v>
      </c>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10"/>
      <c r="AG357" s="5"/>
    </row>
    <row r="358" spans="2:33" x14ac:dyDescent="0.25">
      <c r="B358" s="33" t="s">
        <v>12</v>
      </c>
      <c r="C358" s="34" t="s">
        <v>27</v>
      </c>
      <c r="D358" s="34" t="s">
        <v>22</v>
      </c>
      <c r="E358" s="34" t="s">
        <v>30</v>
      </c>
      <c r="F358" s="35">
        <v>43399</v>
      </c>
      <c r="G358" s="43">
        <v>1363.8</v>
      </c>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10"/>
      <c r="AG358" s="5"/>
    </row>
    <row r="359" spans="2:33" x14ac:dyDescent="0.25">
      <c r="B359" s="36" t="s">
        <v>13</v>
      </c>
      <c r="C359" s="37" t="s">
        <v>34</v>
      </c>
      <c r="D359" s="37" t="s">
        <v>7</v>
      </c>
      <c r="E359" s="37" t="s">
        <v>29</v>
      </c>
      <c r="F359" s="38">
        <v>43401</v>
      </c>
      <c r="G359" s="44">
        <v>681.9</v>
      </c>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10"/>
      <c r="AG359" s="5"/>
    </row>
    <row r="360" spans="2:33" x14ac:dyDescent="0.25">
      <c r="B360" s="33" t="s">
        <v>20</v>
      </c>
      <c r="C360" s="34" t="s">
        <v>34</v>
      </c>
      <c r="D360" s="34" t="s">
        <v>8</v>
      </c>
      <c r="E360" s="34" t="s">
        <v>31</v>
      </c>
      <c r="F360" s="35">
        <v>43401</v>
      </c>
      <c r="G360" s="43">
        <v>1704.75</v>
      </c>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10"/>
      <c r="AG360" s="5"/>
    </row>
    <row r="361" spans="2:33" x14ac:dyDescent="0.25">
      <c r="B361" s="36" t="s">
        <v>10</v>
      </c>
      <c r="C361" s="37" t="s">
        <v>25</v>
      </c>
      <c r="D361" s="37" t="s">
        <v>8</v>
      </c>
      <c r="E361" s="37" t="s">
        <v>32</v>
      </c>
      <c r="F361" s="38">
        <v>43402</v>
      </c>
      <c r="G361" s="44">
        <v>2027.3999999999999</v>
      </c>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10"/>
      <c r="AG361" s="5"/>
    </row>
    <row r="362" spans="2:33" x14ac:dyDescent="0.25">
      <c r="B362" s="33" t="s">
        <v>14</v>
      </c>
      <c r="C362" s="34" t="s">
        <v>25</v>
      </c>
      <c r="D362" s="34" t="s">
        <v>7</v>
      </c>
      <c r="E362" s="34" t="s">
        <v>32</v>
      </c>
      <c r="F362" s="35">
        <v>43402</v>
      </c>
      <c r="G362" s="43">
        <v>2534.25</v>
      </c>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10"/>
      <c r="AG362" s="5"/>
    </row>
    <row r="363" spans="2:33" x14ac:dyDescent="0.25">
      <c r="B363" s="36" t="s">
        <v>12</v>
      </c>
      <c r="C363" s="37" t="s">
        <v>26</v>
      </c>
      <c r="D363" s="37" t="s">
        <v>22</v>
      </c>
      <c r="E363" s="37" t="s">
        <v>30</v>
      </c>
      <c r="F363" s="38">
        <v>43403</v>
      </c>
      <c r="G363" s="44">
        <v>7199.55</v>
      </c>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10"/>
      <c r="AG363" s="5"/>
    </row>
    <row r="364" spans="2:33" x14ac:dyDescent="0.25">
      <c r="B364" s="33" t="s">
        <v>16</v>
      </c>
      <c r="C364" s="34" t="s">
        <v>34</v>
      </c>
      <c r="D364" s="34" t="s">
        <v>7</v>
      </c>
      <c r="E364" s="34" t="s">
        <v>31</v>
      </c>
      <c r="F364" s="35">
        <v>43403</v>
      </c>
      <c r="G364" s="43">
        <v>1704.75</v>
      </c>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10"/>
      <c r="AG364" s="5"/>
    </row>
    <row r="365" spans="2:33" x14ac:dyDescent="0.25">
      <c r="B365" s="36" t="s">
        <v>13</v>
      </c>
      <c r="C365" s="37" t="s">
        <v>26</v>
      </c>
      <c r="D365" s="37" t="s">
        <v>7</v>
      </c>
      <c r="E365" s="37" t="s">
        <v>30</v>
      </c>
      <c r="F365" s="38">
        <v>43404</v>
      </c>
      <c r="G365" s="44">
        <v>3199.8</v>
      </c>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10"/>
      <c r="AG365" s="5"/>
    </row>
    <row r="366" spans="2:33" x14ac:dyDescent="0.25">
      <c r="B366" s="33" t="s">
        <v>17</v>
      </c>
      <c r="C366" s="34" t="s">
        <v>27</v>
      </c>
      <c r="D366" s="34" t="s">
        <v>9</v>
      </c>
      <c r="E366" s="34" t="s">
        <v>31</v>
      </c>
      <c r="F366" s="35">
        <v>43404</v>
      </c>
      <c r="G366" s="43">
        <v>5114.25</v>
      </c>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10"/>
      <c r="AG366" s="5"/>
    </row>
    <row r="367" spans="2:33" x14ac:dyDescent="0.25">
      <c r="B367" s="36" t="s">
        <v>19</v>
      </c>
      <c r="C367" s="37" t="s">
        <v>26</v>
      </c>
      <c r="D367" s="37" t="s">
        <v>22</v>
      </c>
      <c r="E367" s="37" t="s">
        <v>30</v>
      </c>
      <c r="F367" s="38">
        <v>43405</v>
      </c>
      <c r="G367" s="44">
        <v>7999.5</v>
      </c>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10"/>
      <c r="AG367" s="5"/>
    </row>
    <row r="368" spans="2:33" x14ac:dyDescent="0.25">
      <c r="B368" s="33" t="s">
        <v>18</v>
      </c>
      <c r="C368" s="34" t="s">
        <v>27</v>
      </c>
      <c r="D368" s="34" t="s">
        <v>22</v>
      </c>
      <c r="E368" s="34" t="s">
        <v>29</v>
      </c>
      <c r="F368" s="35">
        <v>43406</v>
      </c>
      <c r="G368" s="43">
        <v>681.9</v>
      </c>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10"/>
      <c r="AG368" s="5"/>
    </row>
    <row r="369" spans="2:33" x14ac:dyDescent="0.25">
      <c r="B369" s="36" t="s">
        <v>20</v>
      </c>
      <c r="C369" s="37" t="s">
        <v>25</v>
      </c>
      <c r="D369" s="37" t="s">
        <v>7</v>
      </c>
      <c r="E369" s="37" t="s">
        <v>28</v>
      </c>
      <c r="F369" s="38">
        <v>43408</v>
      </c>
      <c r="G369" s="44">
        <v>1858.4499999999998</v>
      </c>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10"/>
      <c r="AG369" s="5"/>
    </row>
    <row r="370" spans="2:33" x14ac:dyDescent="0.25">
      <c r="B370" s="33" t="s">
        <v>20</v>
      </c>
      <c r="C370" s="34" t="s">
        <v>25</v>
      </c>
      <c r="D370" s="34" t="s">
        <v>7</v>
      </c>
      <c r="E370" s="34" t="s">
        <v>29</v>
      </c>
      <c r="F370" s="35">
        <v>43408</v>
      </c>
      <c r="G370" s="43">
        <v>337.9</v>
      </c>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10"/>
      <c r="AG370" s="5"/>
    </row>
    <row r="371" spans="2:33" x14ac:dyDescent="0.25">
      <c r="B371" s="36" t="s">
        <v>11</v>
      </c>
      <c r="C371" s="37" t="s">
        <v>26</v>
      </c>
      <c r="D371" s="37" t="s">
        <v>9</v>
      </c>
      <c r="E371" s="37" t="s">
        <v>31</v>
      </c>
      <c r="F371" s="38">
        <v>43409</v>
      </c>
      <c r="G371" s="44">
        <v>5599.6500000000005</v>
      </c>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10"/>
      <c r="AG371" s="5"/>
    </row>
    <row r="372" spans="2:33" x14ac:dyDescent="0.25">
      <c r="B372" s="33" t="s">
        <v>18</v>
      </c>
      <c r="C372" s="34" t="s">
        <v>34</v>
      </c>
      <c r="D372" s="34" t="s">
        <v>22</v>
      </c>
      <c r="E372" s="34" t="s">
        <v>31</v>
      </c>
      <c r="F372" s="35">
        <v>43409</v>
      </c>
      <c r="G372" s="43">
        <v>2045.6999999999998</v>
      </c>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10"/>
      <c r="AG372" s="5"/>
    </row>
    <row r="373" spans="2:33" x14ac:dyDescent="0.25">
      <c r="B373" s="36" t="s">
        <v>10</v>
      </c>
      <c r="C373" s="37" t="s">
        <v>24</v>
      </c>
      <c r="D373" s="37" t="s">
        <v>8</v>
      </c>
      <c r="E373" s="37" t="s">
        <v>28</v>
      </c>
      <c r="F373" s="38">
        <v>43412</v>
      </c>
      <c r="G373" s="44">
        <v>719.91</v>
      </c>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10"/>
      <c r="AG373" s="5"/>
    </row>
    <row r="374" spans="2:33" x14ac:dyDescent="0.25">
      <c r="B374" s="33" t="s">
        <v>10</v>
      </c>
      <c r="C374" s="34" t="s">
        <v>25</v>
      </c>
      <c r="D374" s="34" t="s">
        <v>8</v>
      </c>
      <c r="E374" s="34" t="s">
        <v>29</v>
      </c>
      <c r="F374" s="35">
        <v>43412</v>
      </c>
      <c r="G374" s="43">
        <v>1858.4499999999998</v>
      </c>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10"/>
      <c r="AG374" s="5"/>
    </row>
    <row r="375" spans="2:33" x14ac:dyDescent="0.25">
      <c r="B375" s="36" t="s">
        <v>18</v>
      </c>
      <c r="C375" s="37" t="s">
        <v>24</v>
      </c>
      <c r="D375" s="37" t="s">
        <v>22</v>
      </c>
      <c r="E375" s="37" t="s">
        <v>30</v>
      </c>
      <c r="F375" s="38">
        <v>43416</v>
      </c>
      <c r="G375" s="44">
        <v>1039.8699999999999</v>
      </c>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10"/>
      <c r="AG375" s="5"/>
    </row>
    <row r="376" spans="2:33" x14ac:dyDescent="0.25">
      <c r="B376" s="33" t="s">
        <v>11</v>
      </c>
      <c r="C376" s="34" t="s">
        <v>34</v>
      </c>
      <c r="D376" s="34" t="s">
        <v>9</v>
      </c>
      <c r="E376" s="34" t="s">
        <v>28</v>
      </c>
      <c r="F376" s="35">
        <v>43416</v>
      </c>
      <c r="G376" s="43">
        <v>5455.2</v>
      </c>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10"/>
      <c r="AG376" s="5"/>
    </row>
    <row r="377" spans="2:33" x14ac:dyDescent="0.25">
      <c r="B377" s="36" t="s">
        <v>19</v>
      </c>
      <c r="C377" s="37" t="s">
        <v>25</v>
      </c>
      <c r="D377" s="37" t="s">
        <v>22</v>
      </c>
      <c r="E377" s="37" t="s">
        <v>28</v>
      </c>
      <c r="F377" s="38">
        <v>43416</v>
      </c>
      <c r="G377" s="44">
        <v>1858.4499999999998</v>
      </c>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10"/>
      <c r="AG377" s="5"/>
    </row>
    <row r="378" spans="2:33" x14ac:dyDescent="0.25">
      <c r="B378" s="33" t="s">
        <v>16</v>
      </c>
      <c r="C378" s="34" t="s">
        <v>24</v>
      </c>
      <c r="D378" s="34" t="s">
        <v>7</v>
      </c>
      <c r="E378" s="34" t="s">
        <v>28</v>
      </c>
      <c r="F378" s="35">
        <v>43416</v>
      </c>
      <c r="G378" s="43">
        <v>799.9</v>
      </c>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10"/>
      <c r="AG378" s="5"/>
    </row>
    <row r="379" spans="2:33" x14ac:dyDescent="0.25">
      <c r="B379" s="36" t="s">
        <v>19</v>
      </c>
      <c r="C379" s="37" t="s">
        <v>25</v>
      </c>
      <c r="D379" s="37" t="s">
        <v>22</v>
      </c>
      <c r="E379" s="37" t="s">
        <v>32</v>
      </c>
      <c r="F379" s="38">
        <v>43416</v>
      </c>
      <c r="G379" s="44">
        <v>168.95</v>
      </c>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10"/>
      <c r="AG379" s="5"/>
    </row>
    <row r="380" spans="2:33" x14ac:dyDescent="0.25">
      <c r="B380" s="33" t="s">
        <v>10</v>
      </c>
      <c r="C380" s="34" t="s">
        <v>27</v>
      </c>
      <c r="D380" s="34" t="s">
        <v>8</v>
      </c>
      <c r="E380" s="34" t="s">
        <v>29</v>
      </c>
      <c r="F380" s="35">
        <v>43416</v>
      </c>
      <c r="G380" s="43">
        <v>681.9</v>
      </c>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10"/>
      <c r="AG380" s="5"/>
    </row>
    <row r="381" spans="2:33" x14ac:dyDescent="0.25">
      <c r="B381" s="36" t="s">
        <v>14</v>
      </c>
      <c r="C381" s="37" t="s">
        <v>34</v>
      </c>
      <c r="D381" s="37" t="s">
        <v>7</v>
      </c>
      <c r="E381" s="37" t="s">
        <v>31</v>
      </c>
      <c r="F381" s="38">
        <v>43416</v>
      </c>
      <c r="G381" s="44">
        <v>1363.8</v>
      </c>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10"/>
      <c r="AG381" s="5"/>
    </row>
    <row r="382" spans="2:33" x14ac:dyDescent="0.25">
      <c r="B382" s="33" t="s">
        <v>20</v>
      </c>
      <c r="C382" s="34" t="s">
        <v>26</v>
      </c>
      <c r="D382" s="34" t="s">
        <v>7</v>
      </c>
      <c r="E382" s="34" t="s">
        <v>29</v>
      </c>
      <c r="F382" s="35">
        <v>43419</v>
      </c>
      <c r="G382" s="43">
        <v>2399.8500000000004</v>
      </c>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10"/>
      <c r="AG382" s="5"/>
    </row>
    <row r="383" spans="2:33" x14ac:dyDescent="0.25">
      <c r="B383" s="36" t="s">
        <v>13</v>
      </c>
      <c r="C383" s="37" t="s">
        <v>25</v>
      </c>
      <c r="D383" s="37" t="s">
        <v>7</v>
      </c>
      <c r="E383" s="37" t="s">
        <v>28</v>
      </c>
      <c r="F383" s="38">
        <v>43420</v>
      </c>
      <c r="G383" s="44">
        <v>2534.25</v>
      </c>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10"/>
      <c r="AG383" s="5"/>
    </row>
    <row r="384" spans="2:33" x14ac:dyDescent="0.25">
      <c r="B384" s="33" t="s">
        <v>20</v>
      </c>
      <c r="C384" s="34" t="s">
        <v>24</v>
      </c>
      <c r="D384" s="34" t="s">
        <v>7</v>
      </c>
      <c r="E384" s="34" t="s">
        <v>30</v>
      </c>
      <c r="F384" s="35">
        <v>43423</v>
      </c>
      <c r="G384" s="43">
        <v>639.91999999999996</v>
      </c>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10"/>
      <c r="AG384" s="5"/>
    </row>
    <row r="385" spans="2:33" x14ac:dyDescent="0.25">
      <c r="B385" s="36" t="s">
        <v>15</v>
      </c>
      <c r="C385" s="37" t="s">
        <v>24</v>
      </c>
      <c r="D385" s="37" t="s">
        <v>22</v>
      </c>
      <c r="E385" s="37" t="s">
        <v>28</v>
      </c>
      <c r="F385" s="38">
        <v>43423</v>
      </c>
      <c r="G385" s="44">
        <v>1039.8699999999999</v>
      </c>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10"/>
      <c r="AG385" s="5"/>
    </row>
    <row r="386" spans="2:33" x14ac:dyDescent="0.25">
      <c r="B386" s="33" t="s">
        <v>10</v>
      </c>
      <c r="C386" s="34" t="s">
        <v>34</v>
      </c>
      <c r="D386" s="34" t="s">
        <v>8</v>
      </c>
      <c r="E386" s="34" t="s">
        <v>29</v>
      </c>
      <c r="F386" s="35">
        <v>43423</v>
      </c>
      <c r="G386" s="43">
        <v>3068.5499999999997</v>
      </c>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10"/>
      <c r="AG386" s="5"/>
    </row>
    <row r="387" spans="2:33" x14ac:dyDescent="0.25">
      <c r="B387" s="36" t="s">
        <v>13</v>
      </c>
      <c r="C387" s="37" t="s">
        <v>25</v>
      </c>
      <c r="D387" s="37" t="s">
        <v>7</v>
      </c>
      <c r="E387" s="37" t="s">
        <v>29</v>
      </c>
      <c r="F387" s="38">
        <v>43423</v>
      </c>
      <c r="G387" s="44">
        <v>844.75</v>
      </c>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10"/>
      <c r="AG387" s="5"/>
    </row>
    <row r="388" spans="2:33" x14ac:dyDescent="0.25">
      <c r="B388" s="33" t="s">
        <v>12</v>
      </c>
      <c r="C388" s="34" t="s">
        <v>34</v>
      </c>
      <c r="D388" s="34" t="s">
        <v>22</v>
      </c>
      <c r="E388" s="34" t="s">
        <v>29</v>
      </c>
      <c r="F388" s="35">
        <v>43423</v>
      </c>
      <c r="G388" s="43">
        <v>3409.5</v>
      </c>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10"/>
      <c r="AG388" s="5"/>
    </row>
    <row r="389" spans="2:33" x14ac:dyDescent="0.25">
      <c r="B389" s="36" t="s">
        <v>19</v>
      </c>
      <c r="C389" s="37" t="s">
        <v>24</v>
      </c>
      <c r="D389" s="37" t="s">
        <v>22</v>
      </c>
      <c r="E389" s="37" t="s">
        <v>31</v>
      </c>
      <c r="F389" s="38">
        <v>43423</v>
      </c>
      <c r="G389" s="44">
        <v>799.9</v>
      </c>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10"/>
      <c r="AG389" s="5"/>
    </row>
    <row r="390" spans="2:33" x14ac:dyDescent="0.25">
      <c r="B390" s="33" t="s">
        <v>12</v>
      </c>
      <c r="C390" s="34" t="s">
        <v>27</v>
      </c>
      <c r="D390" s="34" t="s">
        <v>22</v>
      </c>
      <c r="E390" s="34" t="s">
        <v>31</v>
      </c>
      <c r="F390" s="35">
        <v>43423</v>
      </c>
      <c r="G390" s="43">
        <v>1022.8499999999999</v>
      </c>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10"/>
      <c r="AG390" s="5"/>
    </row>
    <row r="391" spans="2:33" x14ac:dyDescent="0.25">
      <c r="B391" s="36" t="s">
        <v>14</v>
      </c>
      <c r="C391" s="37" t="s">
        <v>25</v>
      </c>
      <c r="D391" s="37" t="s">
        <v>7</v>
      </c>
      <c r="E391" s="37" t="s">
        <v>30</v>
      </c>
      <c r="F391" s="38">
        <v>43424</v>
      </c>
      <c r="G391" s="44">
        <v>675.8</v>
      </c>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10"/>
      <c r="AG391" s="5"/>
    </row>
    <row r="392" spans="2:33" x14ac:dyDescent="0.25">
      <c r="B392" s="33" t="s">
        <v>10</v>
      </c>
      <c r="C392" s="34" t="s">
        <v>26</v>
      </c>
      <c r="D392" s="34" t="s">
        <v>8</v>
      </c>
      <c r="E392" s="34" t="s">
        <v>32</v>
      </c>
      <c r="F392" s="35">
        <v>43424</v>
      </c>
      <c r="G392" s="43">
        <v>3999.75</v>
      </c>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10"/>
      <c r="AG392" s="5"/>
    </row>
    <row r="393" spans="2:33" x14ac:dyDescent="0.25">
      <c r="B393" s="36" t="s">
        <v>16</v>
      </c>
      <c r="C393" s="37" t="s">
        <v>27</v>
      </c>
      <c r="D393" s="37" t="s">
        <v>7</v>
      </c>
      <c r="E393" s="37" t="s">
        <v>29</v>
      </c>
      <c r="F393" s="38">
        <v>43424</v>
      </c>
      <c r="G393" s="44">
        <v>2386.65</v>
      </c>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10"/>
      <c r="AG393" s="5"/>
    </row>
    <row r="394" spans="2:33" x14ac:dyDescent="0.25">
      <c r="B394" s="33" t="s">
        <v>14</v>
      </c>
      <c r="C394" s="34" t="s">
        <v>34</v>
      </c>
      <c r="D394" s="34" t="s">
        <v>7</v>
      </c>
      <c r="E394" s="34" t="s">
        <v>28</v>
      </c>
      <c r="F394" s="35">
        <v>43426</v>
      </c>
      <c r="G394" s="43">
        <v>2727.6</v>
      </c>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10"/>
      <c r="AG394" s="5"/>
    </row>
    <row r="395" spans="2:33" x14ac:dyDescent="0.25">
      <c r="B395" s="36" t="s">
        <v>16</v>
      </c>
      <c r="C395" s="37" t="s">
        <v>24</v>
      </c>
      <c r="D395" s="37" t="s">
        <v>7</v>
      </c>
      <c r="E395" s="37" t="s">
        <v>29</v>
      </c>
      <c r="F395" s="38">
        <v>43426</v>
      </c>
      <c r="G395" s="44">
        <v>879.89</v>
      </c>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10"/>
      <c r="AG395" s="5"/>
    </row>
    <row r="396" spans="2:33" x14ac:dyDescent="0.25">
      <c r="B396" s="33" t="s">
        <v>18</v>
      </c>
      <c r="C396" s="34" t="s">
        <v>34</v>
      </c>
      <c r="D396" s="34" t="s">
        <v>22</v>
      </c>
      <c r="E396" s="34" t="s">
        <v>31</v>
      </c>
      <c r="F396" s="35">
        <v>43426</v>
      </c>
      <c r="G396" s="43">
        <v>5114.25</v>
      </c>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10"/>
      <c r="AG396" s="5"/>
    </row>
    <row r="397" spans="2:33" x14ac:dyDescent="0.25">
      <c r="B397" s="36" t="s">
        <v>16</v>
      </c>
      <c r="C397" s="37" t="s">
        <v>25</v>
      </c>
      <c r="D397" s="37" t="s">
        <v>7</v>
      </c>
      <c r="E397" s="37" t="s">
        <v>31</v>
      </c>
      <c r="F397" s="38">
        <v>43426</v>
      </c>
      <c r="G397" s="44">
        <v>506.84999999999997</v>
      </c>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10"/>
      <c r="AG397" s="5"/>
    </row>
    <row r="398" spans="2:33" x14ac:dyDescent="0.25">
      <c r="B398" s="33" t="s">
        <v>14</v>
      </c>
      <c r="C398" s="34" t="s">
        <v>27</v>
      </c>
      <c r="D398" s="34" t="s">
        <v>7</v>
      </c>
      <c r="E398" s="34" t="s">
        <v>31</v>
      </c>
      <c r="F398" s="35">
        <v>43426</v>
      </c>
      <c r="G398" s="43">
        <v>2727.6</v>
      </c>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10"/>
      <c r="AG398" s="5"/>
    </row>
    <row r="399" spans="2:33" x14ac:dyDescent="0.25">
      <c r="B399" s="36" t="s">
        <v>19</v>
      </c>
      <c r="C399" s="37" t="s">
        <v>27</v>
      </c>
      <c r="D399" s="37" t="s">
        <v>22</v>
      </c>
      <c r="E399" s="37" t="s">
        <v>28</v>
      </c>
      <c r="F399" s="38">
        <v>43427</v>
      </c>
      <c r="G399" s="44">
        <v>4773.3</v>
      </c>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10"/>
      <c r="AG399" s="5"/>
    </row>
    <row r="400" spans="2:33" x14ac:dyDescent="0.25">
      <c r="B400" s="33" t="s">
        <v>16</v>
      </c>
      <c r="C400" s="34" t="s">
        <v>27</v>
      </c>
      <c r="D400" s="34" t="s">
        <v>7</v>
      </c>
      <c r="E400" s="34" t="s">
        <v>28</v>
      </c>
      <c r="F400" s="35">
        <v>43427</v>
      </c>
      <c r="G400" s="43">
        <v>6478.05</v>
      </c>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10"/>
      <c r="AG400" s="5"/>
    </row>
    <row r="401" spans="2:33" x14ac:dyDescent="0.25">
      <c r="B401" s="36" t="s">
        <v>16</v>
      </c>
      <c r="C401" s="37" t="s">
        <v>24</v>
      </c>
      <c r="D401" s="37" t="s">
        <v>7</v>
      </c>
      <c r="E401" s="37" t="s">
        <v>32</v>
      </c>
      <c r="F401" s="38">
        <v>43427</v>
      </c>
      <c r="G401" s="44">
        <v>319.95999999999998</v>
      </c>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10"/>
      <c r="AG401" s="5"/>
    </row>
    <row r="402" spans="2:33" x14ac:dyDescent="0.25">
      <c r="B402" s="33" t="s">
        <v>19</v>
      </c>
      <c r="C402" s="34" t="s">
        <v>27</v>
      </c>
      <c r="D402" s="34" t="s">
        <v>22</v>
      </c>
      <c r="E402" s="34" t="s">
        <v>31</v>
      </c>
      <c r="F402" s="35">
        <v>43427</v>
      </c>
      <c r="G402" s="43">
        <v>5114.25</v>
      </c>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10"/>
      <c r="AG402" s="5"/>
    </row>
    <row r="403" spans="2:33" x14ac:dyDescent="0.25">
      <c r="B403" s="36" t="s">
        <v>16</v>
      </c>
      <c r="C403" s="37" t="s">
        <v>26</v>
      </c>
      <c r="D403" s="37" t="s">
        <v>7</v>
      </c>
      <c r="E403" s="37" t="s">
        <v>28</v>
      </c>
      <c r="F403" s="38">
        <v>43429</v>
      </c>
      <c r="G403" s="44">
        <v>11199.300000000001</v>
      </c>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10"/>
      <c r="AG403" s="5"/>
    </row>
    <row r="404" spans="2:33" x14ac:dyDescent="0.25">
      <c r="B404" s="33" t="s">
        <v>14</v>
      </c>
      <c r="C404" s="34" t="s">
        <v>27</v>
      </c>
      <c r="D404" s="34" t="s">
        <v>7</v>
      </c>
      <c r="E404" s="34" t="s">
        <v>28</v>
      </c>
      <c r="F404" s="35">
        <v>43429</v>
      </c>
      <c r="G404" s="43">
        <v>2727.6</v>
      </c>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10"/>
      <c r="AG404" s="5"/>
    </row>
    <row r="405" spans="2:33" x14ac:dyDescent="0.25">
      <c r="B405" s="36" t="s">
        <v>21</v>
      </c>
      <c r="C405" s="37" t="s">
        <v>26</v>
      </c>
      <c r="D405" s="37" t="s">
        <v>8</v>
      </c>
      <c r="E405" s="37" t="s">
        <v>31</v>
      </c>
      <c r="F405" s="38">
        <v>43429</v>
      </c>
      <c r="G405" s="44">
        <v>1599.9</v>
      </c>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10"/>
      <c r="AG405" s="5"/>
    </row>
    <row r="406" spans="2:33" x14ac:dyDescent="0.25">
      <c r="B406" s="33" t="s">
        <v>10</v>
      </c>
      <c r="C406" s="34" t="s">
        <v>25</v>
      </c>
      <c r="D406" s="34" t="s">
        <v>8</v>
      </c>
      <c r="E406" s="34" t="s">
        <v>30</v>
      </c>
      <c r="F406" s="35">
        <v>43430</v>
      </c>
      <c r="G406" s="43">
        <v>337.9</v>
      </c>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10"/>
      <c r="AG406" s="5"/>
    </row>
    <row r="407" spans="2:33" x14ac:dyDescent="0.25">
      <c r="B407" s="36" t="s">
        <v>14</v>
      </c>
      <c r="C407" s="37" t="s">
        <v>26</v>
      </c>
      <c r="D407" s="37" t="s">
        <v>7</v>
      </c>
      <c r="E407" s="37" t="s">
        <v>32</v>
      </c>
      <c r="F407" s="38">
        <v>43430</v>
      </c>
      <c r="G407" s="44">
        <v>11199.300000000001</v>
      </c>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10"/>
      <c r="AG407" s="5"/>
    </row>
    <row r="408" spans="2:33" x14ac:dyDescent="0.25">
      <c r="B408" s="33" t="s">
        <v>10</v>
      </c>
      <c r="C408" s="34" t="s">
        <v>34</v>
      </c>
      <c r="D408" s="34" t="s">
        <v>8</v>
      </c>
      <c r="E408" s="34" t="s">
        <v>28</v>
      </c>
      <c r="F408" s="35">
        <v>43432</v>
      </c>
      <c r="G408" s="43">
        <v>4773.3</v>
      </c>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10"/>
      <c r="AG408" s="5"/>
    </row>
    <row r="409" spans="2:33" x14ac:dyDescent="0.25">
      <c r="B409" s="36" t="s">
        <v>14</v>
      </c>
      <c r="C409" s="37" t="s">
        <v>27</v>
      </c>
      <c r="D409" s="37" t="s">
        <v>7</v>
      </c>
      <c r="E409" s="37" t="s">
        <v>32</v>
      </c>
      <c r="F409" s="38">
        <v>43432</v>
      </c>
      <c r="G409" s="44">
        <v>3068.5499999999997</v>
      </c>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10"/>
      <c r="AG409" s="5"/>
    </row>
    <row r="410" spans="2:33" x14ac:dyDescent="0.25">
      <c r="B410" s="33" t="s">
        <v>21</v>
      </c>
      <c r="C410" s="34" t="s">
        <v>24</v>
      </c>
      <c r="D410" s="34" t="s">
        <v>8</v>
      </c>
      <c r="E410" s="34" t="s">
        <v>31</v>
      </c>
      <c r="F410" s="35">
        <v>43432</v>
      </c>
      <c r="G410" s="43">
        <v>399.95</v>
      </c>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10"/>
      <c r="AG410" s="5"/>
    </row>
    <row r="411" spans="2:33" x14ac:dyDescent="0.25">
      <c r="B411" s="36" t="s">
        <v>14</v>
      </c>
      <c r="C411" s="37" t="s">
        <v>25</v>
      </c>
      <c r="D411" s="37" t="s">
        <v>7</v>
      </c>
      <c r="E411" s="37" t="s">
        <v>30</v>
      </c>
      <c r="F411" s="38">
        <v>43433</v>
      </c>
      <c r="G411" s="44">
        <v>506.84999999999997</v>
      </c>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10"/>
      <c r="AG411" s="5"/>
    </row>
    <row r="412" spans="2:33" x14ac:dyDescent="0.25">
      <c r="B412" s="33" t="s">
        <v>20</v>
      </c>
      <c r="C412" s="34" t="s">
        <v>34</v>
      </c>
      <c r="D412" s="34" t="s">
        <v>8</v>
      </c>
      <c r="E412" s="34" t="s">
        <v>28</v>
      </c>
      <c r="F412" s="35">
        <v>43433</v>
      </c>
      <c r="G412" s="43">
        <v>5796.15</v>
      </c>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10"/>
      <c r="AG412" s="5"/>
    </row>
    <row r="413" spans="2:33" x14ac:dyDescent="0.25">
      <c r="B413" s="36" t="s">
        <v>14</v>
      </c>
      <c r="C413" s="37" t="s">
        <v>27</v>
      </c>
      <c r="D413" s="37" t="s">
        <v>7</v>
      </c>
      <c r="E413" s="37" t="s">
        <v>29</v>
      </c>
      <c r="F413" s="38">
        <v>43433</v>
      </c>
      <c r="G413" s="44">
        <v>4091.3999999999996</v>
      </c>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10"/>
      <c r="AG413" s="5"/>
    </row>
    <row r="414" spans="2:33" x14ac:dyDescent="0.25">
      <c r="B414" s="33" t="s">
        <v>21</v>
      </c>
      <c r="C414" s="34" t="s">
        <v>25</v>
      </c>
      <c r="D414" s="34" t="s">
        <v>8</v>
      </c>
      <c r="E414" s="34" t="s">
        <v>32</v>
      </c>
      <c r="F414" s="35">
        <v>43434</v>
      </c>
      <c r="G414" s="43">
        <v>2365.2999999999997</v>
      </c>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10"/>
      <c r="AG414" s="5"/>
    </row>
    <row r="415" spans="2:33" x14ac:dyDescent="0.25">
      <c r="B415" s="36" t="s">
        <v>13</v>
      </c>
      <c r="C415" s="37" t="s">
        <v>27</v>
      </c>
      <c r="D415" s="37" t="s">
        <v>7</v>
      </c>
      <c r="E415" s="37" t="s">
        <v>29</v>
      </c>
      <c r="F415" s="38">
        <v>43436</v>
      </c>
      <c r="G415" s="44">
        <v>4773.3</v>
      </c>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10"/>
      <c r="AG415" s="5"/>
    </row>
    <row r="416" spans="2:33" x14ac:dyDescent="0.25">
      <c r="B416" s="33" t="s">
        <v>21</v>
      </c>
      <c r="C416" s="34" t="s">
        <v>25</v>
      </c>
      <c r="D416" s="34" t="s">
        <v>8</v>
      </c>
      <c r="E416" s="34" t="s">
        <v>30</v>
      </c>
      <c r="F416" s="35">
        <v>43437</v>
      </c>
      <c r="G416" s="43">
        <v>1520.55</v>
      </c>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10"/>
      <c r="AG416" s="5"/>
    </row>
    <row r="417" spans="2:33" x14ac:dyDescent="0.25">
      <c r="B417" s="36" t="s">
        <v>10</v>
      </c>
      <c r="C417" s="37" t="s">
        <v>27</v>
      </c>
      <c r="D417" s="37" t="s">
        <v>8</v>
      </c>
      <c r="E417" s="37" t="s">
        <v>28</v>
      </c>
      <c r="F417" s="38">
        <v>43437</v>
      </c>
      <c r="G417" s="44">
        <v>4432.3499999999995</v>
      </c>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10"/>
      <c r="AG417" s="5"/>
    </row>
    <row r="418" spans="2:33" x14ac:dyDescent="0.25">
      <c r="B418" s="33" t="s">
        <v>15</v>
      </c>
      <c r="C418" s="34" t="s">
        <v>26</v>
      </c>
      <c r="D418" s="34" t="s">
        <v>22</v>
      </c>
      <c r="E418" s="34" t="s">
        <v>28</v>
      </c>
      <c r="F418" s="35">
        <v>43438</v>
      </c>
      <c r="G418" s="43">
        <v>9599.4000000000015</v>
      </c>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10"/>
      <c r="AG418" s="5"/>
    </row>
    <row r="419" spans="2:33" x14ac:dyDescent="0.25">
      <c r="B419" s="36" t="s">
        <v>13</v>
      </c>
      <c r="C419" s="37" t="s">
        <v>27</v>
      </c>
      <c r="D419" s="37" t="s">
        <v>7</v>
      </c>
      <c r="E419" s="37" t="s">
        <v>29</v>
      </c>
      <c r="F419" s="38">
        <v>43438</v>
      </c>
      <c r="G419" s="44">
        <v>5114.25</v>
      </c>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10"/>
      <c r="AG419" s="5"/>
    </row>
    <row r="420" spans="2:33" x14ac:dyDescent="0.25">
      <c r="B420" s="33" t="s">
        <v>16</v>
      </c>
      <c r="C420" s="34" t="s">
        <v>27</v>
      </c>
      <c r="D420" s="34" t="s">
        <v>7</v>
      </c>
      <c r="E420" s="34" t="s">
        <v>31</v>
      </c>
      <c r="F420" s="35">
        <v>43439</v>
      </c>
      <c r="G420" s="43">
        <v>4432.3499999999995</v>
      </c>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10"/>
      <c r="AG420" s="5"/>
    </row>
    <row r="421" spans="2:33" x14ac:dyDescent="0.25">
      <c r="B421" s="36" t="s">
        <v>18</v>
      </c>
      <c r="C421" s="37" t="s">
        <v>24</v>
      </c>
      <c r="D421" s="37" t="s">
        <v>22</v>
      </c>
      <c r="E421" s="37" t="s">
        <v>30</v>
      </c>
      <c r="F421" s="38">
        <v>43440</v>
      </c>
      <c r="G421" s="44">
        <v>239.96999999999997</v>
      </c>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10"/>
      <c r="AG421" s="5"/>
    </row>
    <row r="422" spans="2:33" x14ac:dyDescent="0.25">
      <c r="B422" s="33" t="s">
        <v>13</v>
      </c>
      <c r="C422" s="34" t="s">
        <v>24</v>
      </c>
      <c r="D422" s="34" t="s">
        <v>7</v>
      </c>
      <c r="E422" s="34" t="s">
        <v>28</v>
      </c>
      <c r="F422" s="35">
        <v>43443</v>
      </c>
      <c r="G422" s="43">
        <v>1039.8699999999999</v>
      </c>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10"/>
      <c r="AG422" s="5"/>
    </row>
    <row r="423" spans="2:33" x14ac:dyDescent="0.25">
      <c r="B423" s="36" t="s">
        <v>13</v>
      </c>
      <c r="C423" s="37" t="s">
        <v>25</v>
      </c>
      <c r="D423" s="37" t="s">
        <v>7</v>
      </c>
      <c r="E423" s="37" t="s">
        <v>29</v>
      </c>
      <c r="F423" s="38">
        <v>43444</v>
      </c>
      <c r="G423" s="44">
        <v>2534.25</v>
      </c>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10"/>
      <c r="AG423" s="5"/>
    </row>
    <row r="424" spans="2:33" x14ac:dyDescent="0.25">
      <c r="B424" s="33" t="s">
        <v>18</v>
      </c>
      <c r="C424" s="34" t="s">
        <v>24</v>
      </c>
      <c r="D424" s="34" t="s">
        <v>22</v>
      </c>
      <c r="E424" s="34" t="s">
        <v>31</v>
      </c>
      <c r="F424" s="35">
        <v>43444</v>
      </c>
      <c r="G424" s="43">
        <v>799.9</v>
      </c>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10"/>
      <c r="AG424" s="5"/>
    </row>
    <row r="425" spans="2:33" x14ac:dyDescent="0.25">
      <c r="B425" s="36" t="s">
        <v>10</v>
      </c>
      <c r="C425" s="37" t="s">
        <v>25</v>
      </c>
      <c r="D425" s="37" t="s">
        <v>8</v>
      </c>
      <c r="E425" s="37" t="s">
        <v>31</v>
      </c>
      <c r="F425" s="38">
        <v>43445</v>
      </c>
      <c r="G425" s="44">
        <v>844.75</v>
      </c>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10"/>
      <c r="AG425" s="5"/>
    </row>
    <row r="426" spans="2:33" x14ac:dyDescent="0.25">
      <c r="B426" s="33" t="s">
        <v>12</v>
      </c>
      <c r="C426" s="34" t="s">
        <v>24</v>
      </c>
      <c r="D426" s="34" t="s">
        <v>22</v>
      </c>
      <c r="E426" s="34" t="s">
        <v>31</v>
      </c>
      <c r="F426" s="35">
        <v>43445</v>
      </c>
      <c r="G426" s="43">
        <v>559.92999999999995</v>
      </c>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10"/>
      <c r="AG426" s="5"/>
    </row>
    <row r="427" spans="2:33" x14ac:dyDescent="0.25">
      <c r="B427" s="36" t="s">
        <v>12</v>
      </c>
      <c r="C427" s="37" t="s">
        <v>24</v>
      </c>
      <c r="D427" s="37" t="s">
        <v>22</v>
      </c>
      <c r="E427" s="37" t="s">
        <v>30</v>
      </c>
      <c r="F427" s="38">
        <v>43447</v>
      </c>
      <c r="G427" s="44">
        <v>479.93999999999994</v>
      </c>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10"/>
      <c r="AG427" s="5"/>
    </row>
    <row r="428" spans="2:33" x14ac:dyDescent="0.25">
      <c r="B428" s="33" t="s">
        <v>21</v>
      </c>
      <c r="C428" s="34" t="s">
        <v>25</v>
      </c>
      <c r="D428" s="34" t="s">
        <v>8</v>
      </c>
      <c r="E428" s="34" t="s">
        <v>32</v>
      </c>
      <c r="F428" s="35">
        <v>43447</v>
      </c>
      <c r="G428" s="43">
        <v>168.95</v>
      </c>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10"/>
      <c r="AG428" s="5"/>
    </row>
    <row r="429" spans="2:33" x14ac:dyDescent="0.25">
      <c r="B429" s="36" t="s">
        <v>19</v>
      </c>
      <c r="C429" s="37" t="s">
        <v>34</v>
      </c>
      <c r="D429" s="37" t="s">
        <v>22</v>
      </c>
      <c r="E429" s="37" t="s">
        <v>29</v>
      </c>
      <c r="F429" s="38">
        <v>43447</v>
      </c>
      <c r="G429" s="44">
        <v>340.95</v>
      </c>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10"/>
      <c r="AG429" s="5"/>
    </row>
    <row r="430" spans="2:33" x14ac:dyDescent="0.25">
      <c r="B430" s="33" t="s">
        <v>14</v>
      </c>
      <c r="C430" s="34" t="s">
        <v>26</v>
      </c>
      <c r="D430" s="34" t="s">
        <v>7</v>
      </c>
      <c r="E430" s="34" t="s">
        <v>30</v>
      </c>
      <c r="F430" s="35">
        <v>43448</v>
      </c>
      <c r="G430" s="43">
        <v>5599.6500000000005</v>
      </c>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10"/>
      <c r="AG430" s="5"/>
    </row>
    <row r="431" spans="2:33" x14ac:dyDescent="0.25">
      <c r="B431" s="36" t="s">
        <v>11</v>
      </c>
      <c r="C431" s="37" t="s">
        <v>26</v>
      </c>
      <c r="D431" s="37" t="s">
        <v>9</v>
      </c>
      <c r="E431" s="37" t="s">
        <v>28</v>
      </c>
      <c r="F431" s="38">
        <v>43450</v>
      </c>
      <c r="G431" s="44">
        <v>10399.35</v>
      </c>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10"/>
      <c r="AG431" s="5"/>
    </row>
    <row r="432" spans="2:33" x14ac:dyDescent="0.25">
      <c r="B432" s="33" t="s">
        <v>16</v>
      </c>
      <c r="C432" s="34" t="s">
        <v>34</v>
      </c>
      <c r="D432" s="34" t="s">
        <v>7</v>
      </c>
      <c r="E432" s="34" t="s">
        <v>30</v>
      </c>
      <c r="F432" s="35">
        <v>43451</v>
      </c>
      <c r="G432" s="43">
        <v>3068.5499999999997</v>
      </c>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10"/>
      <c r="AG432" s="5"/>
    </row>
    <row r="433" spans="2:33" x14ac:dyDescent="0.25">
      <c r="B433" s="36" t="s">
        <v>19</v>
      </c>
      <c r="C433" s="37" t="s">
        <v>27</v>
      </c>
      <c r="D433" s="37" t="s">
        <v>22</v>
      </c>
      <c r="E433" s="37" t="s">
        <v>28</v>
      </c>
      <c r="F433" s="38">
        <v>43451</v>
      </c>
      <c r="G433" s="44">
        <v>4432.3499999999995</v>
      </c>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10"/>
      <c r="AG433" s="5"/>
    </row>
    <row r="434" spans="2:33" x14ac:dyDescent="0.25">
      <c r="B434" s="33" t="s">
        <v>13</v>
      </c>
      <c r="C434" s="34" t="s">
        <v>34</v>
      </c>
      <c r="D434" s="34" t="s">
        <v>7</v>
      </c>
      <c r="E434" s="34" t="s">
        <v>32</v>
      </c>
      <c r="F434" s="35">
        <v>43451</v>
      </c>
      <c r="G434" s="43">
        <v>681.9</v>
      </c>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10"/>
      <c r="AG434" s="5"/>
    </row>
    <row r="435" spans="2:33" x14ac:dyDescent="0.25">
      <c r="B435" s="36" t="s">
        <v>21</v>
      </c>
      <c r="C435" s="37" t="s">
        <v>24</v>
      </c>
      <c r="D435" s="37" t="s">
        <v>8</v>
      </c>
      <c r="E435" s="37" t="s">
        <v>32</v>
      </c>
      <c r="F435" s="38">
        <v>43452</v>
      </c>
      <c r="G435" s="44">
        <v>319.95999999999998</v>
      </c>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10"/>
      <c r="AG435" s="5"/>
    </row>
    <row r="436" spans="2:33" x14ac:dyDescent="0.25">
      <c r="B436" s="33" t="s">
        <v>21</v>
      </c>
      <c r="C436" s="34" t="s">
        <v>26</v>
      </c>
      <c r="D436" s="34" t="s">
        <v>8</v>
      </c>
      <c r="E436" s="34" t="s">
        <v>31</v>
      </c>
      <c r="F436" s="35">
        <v>43453</v>
      </c>
      <c r="G436" s="43">
        <v>11199.300000000001</v>
      </c>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10"/>
      <c r="AG436" s="5"/>
    </row>
    <row r="437" spans="2:33" x14ac:dyDescent="0.25">
      <c r="B437" s="36" t="s">
        <v>16</v>
      </c>
      <c r="C437" s="37" t="s">
        <v>27</v>
      </c>
      <c r="D437" s="37" t="s">
        <v>7</v>
      </c>
      <c r="E437" s="37" t="s">
        <v>32</v>
      </c>
      <c r="F437" s="38">
        <v>43454</v>
      </c>
      <c r="G437" s="44">
        <v>3750.45</v>
      </c>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10"/>
      <c r="AG437" s="5"/>
    </row>
    <row r="438" spans="2:33" x14ac:dyDescent="0.25">
      <c r="B438" s="33" t="s">
        <v>14</v>
      </c>
      <c r="C438" s="34" t="s">
        <v>25</v>
      </c>
      <c r="D438" s="34" t="s">
        <v>7</v>
      </c>
      <c r="E438" s="34" t="s">
        <v>32</v>
      </c>
      <c r="F438" s="35">
        <v>43454</v>
      </c>
      <c r="G438" s="43">
        <v>1858.4499999999998</v>
      </c>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10"/>
      <c r="AG438" s="5"/>
    </row>
    <row r="439" spans="2:33" x14ac:dyDescent="0.25">
      <c r="B439" s="36" t="s">
        <v>10</v>
      </c>
      <c r="C439" s="37" t="s">
        <v>26</v>
      </c>
      <c r="D439" s="37" t="s">
        <v>8</v>
      </c>
      <c r="E439" s="37" t="s">
        <v>28</v>
      </c>
      <c r="F439" s="38">
        <v>43455</v>
      </c>
      <c r="G439" s="44">
        <v>8799.4500000000007</v>
      </c>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10"/>
      <c r="AG439" s="5"/>
    </row>
    <row r="440" spans="2:33" x14ac:dyDescent="0.25">
      <c r="B440" s="33" t="s">
        <v>16</v>
      </c>
      <c r="C440" s="34" t="s">
        <v>24</v>
      </c>
      <c r="D440" s="34" t="s">
        <v>7</v>
      </c>
      <c r="E440" s="34" t="s">
        <v>28</v>
      </c>
      <c r="F440" s="35">
        <v>43455</v>
      </c>
      <c r="G440" s="43">
        <v>1519.81</v>
      </c>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10"/>
      <c r="AG440" s="5"/>
    </row>
    <row r="441" spans="2:33" x14ac:dyDescent="0.25">
      <c r="B441" s="36" t="s">
        <v>13</v>
      </c>
      <c r="C441" s="37" t="s">
        <v>26</v>
      </c>
      <c r="D441" s="37" t="s">
        <v>7</v>
      </c>
      <c r="E441" s="37" t="s">
        <v>29</v>
      </c>
      <c r="F441" s="38">
        <v>43457</v>
      </c>
      <c r="G441" s="44">
        <v>4799.7000000000007</v>
      </c>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10"/>
      <c r="AG441" s="5"/>
    </row>
    <row r="442" spans="2:33" x14ac:dyDescent="0.25">
      <c r="B442" s="33" t="s">
        <v>20</v>
      </c>
      <c r="C442" s="34" t="s">
        <v>25</v>
      </c>
      <c r="D442" s="34" t="s">
        <v>7</v>
      </c>
      <c r="E442" s="34" t="s">
        <v>30</v>
      </c>
      <c r="F442" s="35">
        <v>43458</v>
      </c>
      <c r="G442" s="43">
        <v>1520.55</v>
      </c>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10"/>
      <c r="AG442" s="5"/>
    </row>
    <row r="443" spans="2:33" x14ac:dyDescent="0.25">
      <c r="B443" s="36" t="s">
        <v>12</v>
      </c>
      <c r="C443" s="37" t="s">
        <v>25</v>
      </c>
      <c r="D443" s="37" t="s">
        <v>22</v>
      </c>
      <c r="E443" s="37" t="s">
        <v>28</v>
      </c>
      <c r="F443" s="38">
        <v>43458</v>
      </c>
      <c r="G443" s="44">
        <v>3210.0499999999997</v>
      </c>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10"/>
      <c r="AG443" s="5"/>
    </row>
    <row r="444" spans="2:33" x14ac:dyDescent="0.25">
      <c r="B444" s="33" t="s">
        <v>20</v>
      </c>
      <c r="C444" s="34" t="s">
        <v>24</v>
      </c>
      <c r="D444" s="34" t="s">
        <v>7</v>
      </c>
      <c r="E444" s="34" t="s">
        <v>32</v>
      </c>
      <c r="F444" s="35">
        <v>43458</v>
      </c>
      <c r="G444" s="43">
        <v>239.96999999999997</v>
      </c>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10"/>
      <c r="AG444" s="5"/>
    </row>
    <row r="445" spans="2:33" x14ac:dyDescent="0.25">
      <c r="B445" s="36" t="s">
        <v>15</v>
      </c>
      <c r="C445" s="37" t="s">
        <v>26</v>
      </c>
      <c r="D445" s="37" t="s">
        <v>22</v>
      </c>
      <c r="E445" s="37" t="s">
        <v>28</v>
      </c>
      <c r="F445" s="38">
        <v>43459</v>
      </c>
      <c r="G445" s="44">
        <v>15999</v>
      </c>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10"/>
      <c r="AG445" s="5"/>
    </row>
    <row r="446" spans="2:33" x14ac:dyDescent="0.25">
      <c r="B446" s="33" t="s">
        <v>20</v>
      </c>
      <c r="C446" s="34" t="s">
        <v>25</v>
      </c>
      <c r="D446" s="34" t="s">
        <v>7</v>
      </c>
      <c r="E446" s="34" t="s">
        <v>32</v>
      </c>
      <c r="F446" s="35">
        <v>43459</v>
      </c>
      <c r="G446" s="43">
        <v>2027.3999999999999</v>
      </c>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10"/>
      <c r="AG446" s="5"/>
    </row>
    <row r="447" spans="2:33" x14ac:dyDescent="0.25">
      <c r="B447" s="36" t="s">
        <v>17</v>
      </c>
      <c r="C447" s="37" t="s">
        <v>24</v>
      </c>
      <c r="D447" s="37" t="s">
        <v>9</v>
      </c>
      <c r="E447" s="37" t="s">
        <v>32</v>
      </c>
      <c r="F447" s="38">
        <v>43459</v>
      </c>
      <c r="G447" s="44">
        <v>79.989999999999995</v>
      </c>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10"/>
      <c r="AG447" s="5"/>
    </row>
    <row r="448" spans="2:33" x14ac:dyDescent="0.25">
      <c r="B448" s="33" t="s">
        <v>12</v>
      </c>
      <c r="C448" s="34" t="s">
        <v>27</v>
      </c>
      <c r="D448" s="34" t="s">
        <v>22</v>
      </c>
      <c r="E448" s="34" t="s">
        <v>30</v>
      </c>
      <c r="F448" s="35">
        <v>43461</v>
      </c>
      <c r="G448" s="43">
        <v>1022.8499999999999</v>
      </c>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10"/>
      <c r="AG448" s="5"/>
    </row>
    <row r="449" spans="2:33" x14ac:dyDescent="0.25">
      <c r="B449" s="36" t="s">
        <v>10</v>
      </c>
      <c r="C449" s="37" t="s">
        <v>27</v>
      </c>
      <c r="D449" s="37" t="s">
        <v>8</v>
      </c>
      <c r="E449" s="37" t="s">
        <v>28</v>
      </c>
      <c r="F449" s="38">
        <v>43461</v>
      </c>
      <c r="G449" s="44">
        <v>5455.2</v>
      </c>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10"/>
      <c r="AG449" s="5"/>
    </row>
    <row r="450" spans="2:33" x14ac:dyDescent="0.25">
      <c r="B450" s="33" t="s">
        <v>14</v>
      </c>
      <c r="C450" s="34" t="s">
        <v>34</v>
      </c>
      <c r="D450" s="34" t="s">
        <v>7</v>
      </c>
      <c r="E450" s="34" t="s">
        <v>32</v>
      </c>
      <c r="F450" s="35">
        <v>43461</v>
      </c>
      <c r="G450" s="43">
        <v>1022.8499999999999</v>
      </c>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10"/>
      <c r="AG450" s="5"/>
    </row>
    <row r="451" spans="2:33" x14ac:dyDescent="0.25">
      <c r="B451" s="36" t="s">
        <v>14</v>
      </c>
      <c r="C451" s="37" t="s">
        <v>25</v>
      </c>
      <c r="D451" s="37" t="s">
        <v>7</v>
      </c>
      <c r="E451" s="37" t="s">
        <v>28</v>
      </c>
      <c r="F451" s="38">
        <v>43462</v>
      </c>
      <c r="G451" s="44">
        <v>3379</v>
      </c>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10"/>
      <c r="AG451" s="5"/>
    </row>
    <row r="452" spans="2:33" x14ac:dyDescent="0.25">
      <c r="B452" s="33" t="s">
        <v>13</v>
      </c>
      <c r="C452" s="34" t="s">
        <v>27</v>
      </c>
      <c r="D452" s="34" t="s">
        <v>7</v>
      </c>
      <c r="E452" s="34" t="s">
        <v>32</v>
      </c>
      <c r="F452" s="35">
        <v>43462</v>
      </c>
      <c r="G452" s="43">
        <v>2727.6</v>
      </c>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10"/>
      <c r="AG452" s="5"/>
    </row>
    <row r="453" spans="2:33" x14ac:dyDescent="0.25">
      <c r="B453" s="36" t="s">
        <v>17</v>
      </c>
      <c r="C453" s="37" t="s">
        <v>27</v>
      </c>
      <c r="D453" s="37" t="s">
        <v>9</v>
      </c>
      <c r="E453" s="37" t="s">
        <v>29</v>
      </c>
      <c r="F453" s="38">
        <v>43462</v>
      </c>
      <c r="G453" s="44">
        <v>3068.5499999999997</v>
      </c>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10"/>
      <c r="AG453" s="5"/>
    </row>
    <row r="454" spans="2:33" x14ac:dyDescent="0.25">
      <c r="B454" s="33" t="s">
        <v>11</v>
      </c>
      <c r="C454" s="34" t="s">
        <v>27</v>
      </c>
      <c r="D454" s="34" t="s">
        <v>9</v>
      </c>
      <c r="E454" s="34" t="s">
        <v>30</v>
      </c>
      <c r="F454" s="35">
        <v>43464</v>
      </c>
      <c r="G454" s="43">
        <v>4091.3999999999996</v>
      </c>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10"/>
      <c r="AG454" s="5"/>
    </row>
    <row r="455" spans="2:33" x14ac:dyDescent="0.25">
      <c r="B455" s="36" t="s">
        <v>20</v>
      </c>
      <c r="C455" s="37" t="s">
        <v>25</v>
      </c>
      <c r="D455" s="37" t="s">
        <v>7</v>
      </c>
      <c r="E455" s="37" t="s">
        <v>28</v>
      </c>
      <c r="F455" s="38">
        <v>43464</v>
      </c>
      <c r="G455" s="44">
        <v>1520.55</v>
      </c>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10"/>
      <c r="AG455" s="5"/>
    </row>
    <row r="456" spans="2:33" x14ac:dyDescent="0.25">
      <c r="B456" s="33" t="s">
        <v>14</v>
      </c>
      <c r="C456" s="34" t="s">
        <v>24</v>
      </c>
      <c r="D456" s="34" t="s">
        <v>7</v>
      </c>
      <c r="E456" s="34" t="s">
        <v>28</v>
      </c>
      <c r="F456" s="35">
        <v>43464</v>
      </c>
      <c r="G456" s="43">
        <v>1599.8</v>
      </c>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10"/>
      <c r="AG456" s="5"/>
    </row>
    <row r="457" spans="2:33" x14ac:dyDescent="0.25">
      <c r="B457" s="36" t="s">
        <v>19</v>
      </c>
      <c r="C457" s="37" t="s">
        <v>27</v>
      </c>
      <c r="D457" s="37" t="s">
        <v>22</v>
      </c>
      <c r="E457" s="37" t="s">
        <v>32</v>
      </c>
      <c r="F457" s="38">
        <v>43464</v>
      </c>
      <c r="G457" s="44">
        <v>2045.6999999999998</v>
      </c>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10"/>
      <c r="AG457" s="5"/>
    </row>
    <row r="458" spans="2:33" x14ac:dyDescent="0.25">
      <c r="B458" s="33" t="s">
        <v>18</v>
      </c>
      <c r="C458" s="34" t="s">
        <v>24</v>
      </c>
      <c r="D458" s="34" t="s">
        <v>22</v>
      </c>
      <c r="E458" s="34" t="s">
        <v>29</v>
      </c>
      <c r="F458" s="35">
        <v>43464</v>
      </c>
      <c r="G458" s="43">
        <v>79.989999999999995</v>
      </c>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10"/>
      <c r="AG458" s="5"/>
    </row>
    <row r="459" spans="2:33" x14ac:dyDescent="0.25">
      <c r="B459" s="36" t="s">
        <v>19</v>
      </c>
      <c r="C459" s="37" t="s">
        <v>24</v>
      </c>
      <c r="D459" s="37" t="s">
        <v>22</v>
      </c>
      <c r="E459" s="37" t="s">
        <v>31</v>
      </c>
      <c r="F459" s="38">
        <v>43464</v>
      </c>
      <c r="G459" s="44">
        <v>399.95</v>
      </c>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10"/>
      <c r="AG459" s="5"/>
    </row>
    <row r="460" spans="2:33" x14ac:dyDescent="0.25">
      <c r="B460" s="33" t="s">
        <v>15</v>
      </c>
      <c r="C460" s="34" t="s">
        <v>25</v>
      </c>
      <c r="D460" s="34" t="s">
        <v>22</v>
      </c>
      <c r="E460" s="34" t="s">
        <v>31</v>
      </c>
      <c r="F460" s="35">
        <v>43464</v>
      </c>
      <c r="G460" s="43">
        <v>506.84999999999997</v>
      </c>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10"/>
      <c r="AG460" s="5"/>
    </row>
    <row r="461" spans="2:33" x14ac:dyDescent="0.25">
      <c r="B461" s="36" t="s">
        <v>14</v>
      </c>
      <c r="C461" s="37" t="s">
        <v>24</v>
      </c>
      <c r="D461" s="37" t="s">
        <v>7</v>
      </c>
      <c r="E461" s="37" t="s">
        <v>28</v>
      </c>
      <c r="F461" s="38">
        <v>43466</v>
      </c>
      <c r="G461" s="44">
        <v>719.91</v>
      </c>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10"/>
      <c r="AG461" s="5"/>
    </row>
    <row r="462" spans="2:33" x14ac:dyDescent="0.25">
      <c r="B462" s="33" t="s">
        <v>16</v>
      </c>
      <c r="C462" s="34" t="s">
        <v>25</v>
      </c>
      <c r="D462" s="34" t="s">
        <v>7</v>
      </c>
      <c r="E462" s="34" t="s">
        <v>29</v>
      </c>
      <c r="F462" s="35">
        <v>43466</v>
      </c>
      <c r="G462" s="43">
        <v>675.8</v>
      </c>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10"/>
      <c r="AG462" s="5"/>
    </row>
    <row r="463" spans="2:33" x14ac:dyDescent="0.25">
      <c r="B463" s="36" t="s">
        <v>17</v>
      </c>
      <c r="C463" s="37" t="s">
        <v>24</v>
      </c>
      <c r="D463" s="37" t="s">
        <v>9</v>
      </c>
      <c r="E463" s="37" t="s">
        <v>29</v>
      </c>
      <c r="F463" s="38">
        <v>43466</v>
      </c>
      <c r="G463" s="44">
        <v>879.89</v>
      </c>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10"/>
      <c r="AG463" s="5"/>
    </row>
    <row r="464" spans="2:33" x14ac:dyDescent="0.25">
      <c r="B464" s="33" t="s">
        <v>12</v>
      </c>
      <c r="C464" s="34" t="s">
        <v>25</v>
      </c>
      <c r="D464" s="34" t="s">
        <v>22</v>
      </c>
      <c r="E464" s="34" t="s">
        <v>29</v>
      </c>
      <c r="F464" s="35">
        <v>43466</v>
      </c>
      <c r="G464" s="43">
        <v>2534.25</v>
      </c>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10"/>
      <c r="AG464" s="5"/>
    </row>
    <row r="465" spans="2:33" x14ac:dyDescent="0.25">
      <c r="B465" s="36" t="s">
        <v>18</v>
      </c>
      <c r="C465" s="37" t="s">
        <v>34</v>
      </c>
      <c r="D465" s="37" t="s">
        <v>22</v>
      </c>
      <c r="E465" s="37" t="s">
        <v>31</v>
      </c>
      <c r="F465" s="38">
        <v>43466</v>
      </c>
      <c r="G465" s="44">
        <v>2727.6</v>
      </c>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10"/>
      <c r="AG465" s="5"/>
    </row>
    <row r="466" spans="2:33" x14ac:dyDescent="0.25">
      <c r="B466" s="33" t="s">
        <v>17</v>
      </c>
      <c r="C466" s="34" t="s">
        <v>27</v>
      </c>
      <c r="D466" s="34" t="s">
        <v>9</v>
      </c>
      <c r="E466" s="34" t="s">
        <v>28</v>
      </c>
      <c r="F466" s="35">
        <v>43467</v>
      </c>
      <c r="G466" s="43">
        <v>4091.3999999999996</v>
      </c>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10"/>
      <c r="AG466" s="5"/>
    </row>
    <row r="467" spans="2:33" x14ac:dyDescent="0.25">
      <c r="B467" s="36" t="s">
        <v>20</v>
      </c>
      <c r="C467" s="37" t="s">
        <v>34</v>
      </c>
      <c r="D467" s="37" t="s">
        <v>8</v>
      </c>
      <c r="E467" s="37" t="s">
        <v>32</v>
      </c>
      <c r="F467" s="38">
        <v>43467</v>
      </c>
      <c r="G467" s="44">
        <v>1363.8</v>
      </c>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10"/>
      <c r="AG467" s="5"/>
    </row>
    <row r="468" spans="2:33" x14ac:dyDescent="0.25">
      <c r="B468" s="33" t="s">
        <v>13</v>
      </c>
      <c r="C468" s="34" t="s">
        <v>27</v>
      </c>
      <c r="D468" s="34" t="s">
        <v>7</v>
      </c>
      <c r="E468" s="34" t="s">
        <v>30</v>
      </c>
      <c r="F468" s="35">
        <v>43472</v>
      </c>
      <c r="G468" s="43">
        <v>681.9</v>
      </c>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10"/>
      <c r="AG468" s="5"/>
    </row>
    <row r="469" spans="2:33" x14ac:dyDescent="0.25">
      <c r="B469" s="36" t="s">
        <v>17</v>
      </c>
      <c r="C469" s="37" t="s">
        <v>25</v>
      </c>
      <c r="D469" s="37" t="s">
        <v>9</v>
      </c>
      <c r="E469" s="37" t="s">
        <v>32</v>
      </c>
      <c r="F469" s="38">
        <v>43472</v>
      </c>
      <c r="G469" s="44">
        <v>2534.25</v>
      </c>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10"/>
      <c r="AG469" s="5"/>
    </row>
    <row r="470" spans="2:33" x14ac:dyDescent="0.25">
      <c r="B470" s="33" t="s">
        <v>17</v>
      </c>
      <c r="C470" s="34" t="s">
        <v>24</v>
      </c>
      <c r="D470" s="34" t="s">
        <v>9</v>
      </c>
      <c r="E470" s="34" t="s">
        <v>31</v>
      </c>
      <c r="F470" s="35">
        <v>43472</v>
      </c>
      <c r="G470" s="43">
        <v>79.989999999999995</v>
      </c>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10"/>
      <c r="AG470" s="5"/>
    </row>
    <row r="471" spans="2:33" x14ac:dyDescent="0.25">
      <c r="B471" s="36" t="s">
        <v>12</v>
      </c>
      <c r="C471" s="37" t="s">
        <v>26</v>
      </c>
      <c r="D471" s="37" t="s">
        <v>22</v>
      </c>
      <c r="E471" s="37" t="s">
        <v>28</v>
      </c>
      <c r="F471" s="38">
        <v>43473</v>
      </c>
      <c r="G471" s="44">
        <v>14399.1</v>
      </c>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10"/>
      <c r="AG471" s="5"/>
    </row>
    <row r="472" spans="2:33" x14ac:dyDescent="0.25">
      <c r="B472" s="33" t="s">
        <v>14</v>
      </c>
      <c r="C472" s="34" t="s">
        <v>25</v>
      </c>
      <c r="D472" s="34" t="s">
        <v>7</v>
      </c>
      <c r="E472" s="34" t="s">
        <v>28</v>
      </c>
      <c r="F472" s="35">
        <v>43473</v>
      </c>
      <c r="G472" s="43">
        <v>3379</v>
      </c>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10"/>
      <c r="AG472" s="5"/>
    </row>
    <row r="473" spans="2:33" x14ac:dyDescent="0.25">
      <c r="B473" s="36" t="s">
        <v>13</v>
      </c>
      <c r="C473" s="37" t="s">
        <v>25</v>
      </c>
      <c r="D473" s="37" t="s">
        <v>7</v>
      </c>
      <c r="E473" s="37" t="s">
        <v>29</v>
      </c>
      <c r="F473" s="38">
        <v>43473</v>
      </c>
      <c r="G473" s="44">
        <v>675.8</v>
      </c>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10"/>
      <c r="AG473" s="5"/>
    </row>
    <row r="474" spans="2:33" x14ac:dyDescent="0.25">
      <c r="B474" s="33" t="s">
        <v>18</v>
      </c>
      <c r="C474" s="34" t="s">
        <v>27</v>
      </c>
      <c r="D474" s="34" t="s">
        <v>22</v>
      </c>
      <c r="E474" s="34" t="s">
        <v>30</v>
      </c>
      <c r="F474" s="35">
        <v>43474</v>
      </c>
      <c r="G474" s="43">
        <v>3750.45</v>
      </c>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10"/>
      <c r="AG474" s="5"/>
    </row>
    <row r="475" spans="2:33" x14ac:dyDescent="0.25">
      <c r="B475" s="36" t="s">
        <v>16</v>
      </c>
      <c r="C475" s="37" t="s">
        <v>27</v>
      </c>
      <c r="D475" s="37" t="s">
        <v>7</v>
      </c>
      <c r="E475" s="37" t="s">
        <v>30</v>
      </c>
      <c r="F475" s="38">
        <v>43474</v>
      </c>
      <c r="G475" s="44">
        <v>340.95</v>
      </c>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10"/>
      <c r="AG475" s="5"/>
    </row>
    <row r="476" spans="2:33" x14ac:dyDescent="0.25">
      <c r="B476" s="33" t="s">
        <v>20</v>
      </c>
      <c r="C476" s="34" t="s">
        <v>34</v>
      </c>
      <c r="D476" s="34" t="s">
        <v>8</v>
      </c>
      <c r="E476" s="34" t="s">
        <v>32</v>
      </c>
      <c r="F476" s="35">
        <v>43474</v>
      </c>
      <c r="G476" s="43">
        <v>2386.65</v>
      </c>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10"/>
      <c r="AG476" s="5"/>
    </row>
    <row r="477" spans="2:33" x14ac:dyDescent="0.25">
      <c r="B477" s="36" t="s">
        <v>11</v>
      </c>
      <c r="C477" s="37" t="s">
        <v>26</v>
      </c>
      <c r="D477" s="37" t="s">
        <v>9</v>
      </c>
      <c r="E477" s="37" t="s">
        <v>30</v>
      </c>
      <c r="F477" s="38">
        <v>43475</v>
      </c>
      <c r="G477" s="44">
        <v>5599.6500000000005</v>
      </c>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10"/>
      <c r="AG477" s="5"/>
    </row>
    <row r="478" spans="2:33" x14ac:dyDescent="0.25">
      <c r="B478" s="33" t="s">
        <v>10</v>
      </c>
      <c r="C478" s="34" t="s">
        <v>26</v>
      </c>
      <c r="D478" s="34" t="s">
        <v>8</v>
      </c>
      <c r="E478" s="34" t="s">
        <v>30</v>
      </c>
      <c r="F478" s="35">
        <v>43475</v>
      </c>
      <c r="G478" s="43">
        <v>6399.6</v>
      </c>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10"/>
      <c r="AG478" s="5"/>
    </row>
    <row r="479" spans="2:33" x14ac:dyDescent="0.25">
      <c r="B479" s="36" t="s">
        <v>19</v>
      </c>
      <c r="C479" s="37" t="s">
        <v>24</v>
      </c>
      <c r="D479" s="37" t="s">
        <v>22</v>
      </c>
      <c r="E479" s="37" t="s">
        <v>28</v>
      </c>
      <c r="F479" s="38">
        <v>43475</v>
      </c>
      <c r="G479" s="44">
        <v>1279.8399999999999</v>
      </c>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10"/>
      <c r="AG479" s="5"/>
    </row>
    <row r="480" spans="2:33" x14ac:dyDescent="0.25">
      <c r="B480" s="33" t="s">
        <v>13</v>
      </c>
      <c r="C480" s="34" t="s">
        <v>25</v>
      </c>
      <c r="D480" s="34" t="s">
        <v>7</v>
      </c>
      <c r="E480" s="34" t="s">
        <v>28</v>
      </c>
      <c r="F480" s="35">
        <v>43475</v>
      </c>
      <c r="G480" s="43">
        <v>2703.2</v>
      </c>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10"/>
      <c r="AG480" s="5"/>
    </row>
    <row r="481" spans="2:33" x14ac:dyDescent="0.25">
      <c r="B481" s="36" t="s">
        <v>11</v>
      </c>
      <c r="C481" s="37" t="s">
        <v>25</v>
      </c>
      <c r="D481" s="37" t="s">
        <v>9</v>
      </c>
      <c r="E481" s="37" t="s">
        <v>32</v>
      </c>
      <c r="F481" s="38">
        <v>43475</v>
      </c>
      <c r="G481" s="44">
        <v>1013.6999999999999</v>
      </c>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10"/>
      <c r="AG481" s="5"/>
    </row>
    <row r="482" spans="2:33" x14ac:dyDescent="0.25">
      <c r="B482" s="33" t="s">
        <v>20</v>
      </c>
      <c r="C482" s="34" t="s">
        <v>26</v>
      </c>
      <c r="D482" s="34" t="s">
        <v>7</v>
      </c>
      <c r="E482" s="34" t="s">
        <v>31</v>
      </c>
      <c r="F482" s="35">
        <v>43475</v>
      </c>
      <c r="G482" s="43">
        <v>11999.25</v>
      </c>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10"/>
      <c r="AG482" s="5"/>
    </row>
    <row r="483" spans="2:33" x14ac:dyDescent="0.25">
      <c r="B483" s="36" t="s">
        <v>20</v>
      </c>
      <c r="C483" s="37" t="s">
        <v>27</v>
      </c>
      <c r="D483" s="37" t="s">
        <v>7</v>
      </c>
      <c r="E483" s="37" t="s">
        <v>31</v>
      </c>
      <c r="F483" s="38">
        <v>43475</v>
      </c>
      <c r="G483" s="44">
        <v>3750.45</v>
      </c>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10"/>
      <c r="AG483" s="5"/>
    </row>
    <row r="484" spans="2:33" x14ac:dyDescent="0.25">
      <c r="B484" s="33" t="s">
        <v>17</v>
      </c>
      <c r="C484" s="34" t="s">
        <v>25</v>
      </c>
      <c r="D484" s="34" t="s">
        <v>9</v>
      </c>
      <c r="E484" s="34" t="s">
        <v>28</v>
      </c>
      <c r="F484" s="35">
        <v>43476</v>
      </c>
      <c r="G484" s="43">
        <v>1013.6999999999999</v>
      </c>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10"/>
      <c r="AG484" s="5"/>
    </row>
    <row r="485" spans="2:33" x14ac:dyDescent="0.25">
      <c r="B485" s="36" t="s">
        <v>10</v>
      </c>
      <c r="C485" s="37" t="s">
        <v>25</v>
      </c>
      <c r="D485" s="37" t="s">
        <v>8</v>
      </c>
      <c r="E485" s="37" t="s">
        <v>31</v>
      </c>
      <c r="F485" s="38">
        <v>43476</v>
      </c>
      <c r="G485" s="44">
        <v>1858.4499999999998</v>
      </c>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10"/>
      <c r="AG485" s="5"/>
    </row>
    <row r="486" spans="2:33" x14ac:dyDescent="0.25">
      <c r="B486" s="33" t="s">
        <v>18</v>
      </c>
      <c r="C486" s="34" t="s">
        <v>26</v>
      </c>
      <c r="D486" s="34" t="s">
        <v>22</v>
      </c>
      <c r="E486" s="34" t="s">
        <v>31</v>
      </c>
      <c r="F486" s="35">
        <v>43476</v>
      </c>
      <c r="G486" s="43">
        <v>5599.6500000000005</v>
      </c>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10"/>
      <c r="AG486" s="5"/>
    </row>
    <row r="487" spans="2:33" x14ac:dyDescent="0.25">
      <c r="B487" s="36" t="s">
        <v>16</v>
      </c>
      <c r="C487" s="37" t="s">
        <v>25</v>
      </c>
      <c r="D487" s="37" t="s">
        <v>7</v>
      </c>
      <c r="E487" s="37" t="s">
        <v>31</v>
      </c>
      <c r="F487" s="38">
        <v>43478</v>
      </c>
      <c r="G487" s="44">
        <v>168.95</v>
      </c>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10"/>
      <c r="AG487" s="5"/>
    </row>
    <row r="488" spans="2:33" x14ac:dyDescent="0.25">
      <c r="B488" s="33" t="s">
        <v>11</v>
      </c>
      <c r="C488" s="34" t="s">
        <v>25</v>
      </c>
      <c r="D488" s="34" t="s">
        <v>9</v>
      </c>
      <c r="E488" s="34" t="s">
        <v>30</v>
      </c>
      <c r="F488" s="35">
        <v>43479</v>
      </c>
      <c r="G488" s="43">
        <v>2534.25</v>
      </c>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10"/>
      <c r="AG488" s="5"/>
    </row>
    <row r="489" spans="2:33" x14ac:dyDescent="0.25">
      <c r="B489" s="36" t="s">
        <v>10</v>
      </c>
      <c r="C489" s="37" t="s">
        <v>24</v>
      </c>
      <c r="D489" s="37" t="s">
        <v>8</v>
      </c>
      <c r="E489" s="37" t="s">
        <v>30</v>
      </c>
      <c r="F489" s="38">
        <v>43479</v>
      </c>
      <c r="G489" s="44">
        <v>959.87999999999988</v>
      </c>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10"/>
      <c r="AG489" s="5"/>
    </row>
    <row r="490" spans="2:33" x14ac:dyDescent="0.25">
      <c r="B490" s="33" t="s">
        <v>11</v>
      </c>
      <c r="C490" s="34" t="s">
        <v>25</v>
      </c>
      <c r="D490" s="34" t="s">
        <v>9</v>
      </c>
      <c r="E490" s="34" t="s">
        <v>28</v>
      </c>
      <c r="F490" s="35">
        <v>43479</v>
      </c>
      <c r="G490" s="43">
        <v>2196.35</v>
      </c>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10"/>
      <c r="AG490" s="5"/>
    </row>
    <row r="491" spans="2:33" x14ac:dyDescent="0.25">
      <c r="B491" s="36" t="s">
        <v>19</v>
      </c>
      <c r="C491" s="37" t="s">
        <v>27</v>
      </c>
      <c r="D491" s="37" t="s">
        <v>22</v>
      </c>
      <c r="E491" s="37" t="s">
        <v>31</v>
      </c>
      <c r="F491" s="38">
        <v>43479</v>
      </c>
      <c r="G491" s="44">
        <v>340.95</v>
      </c>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10"/>
      <c r="AG491" s="5"/>
    </row>
    <row r="492" spans="2:33" x14ac:dyDescent="0.25">
      <c r="B492" s="33" t="s">
        <v>21</v>
      </c>
      <c r="C492" s="34" t="s">
        <v>27</v>
      </c>
      <c r="D492" s="34" t="s">
        <v>8</v>
      </c>
      <c r="E492" s="34" t="s">
        <v>31</v>
      </c>
      <c r="F492" s="35">
        <v>43479</v>
      </c>
      <c r="G492" s="43">
        <v>5114.25</v>
      </c>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10"/>
      <c r="AG492" s="5"/>
    </row>
    <row r="493" spans="2:33" x14ac:dyDescent="0.25">
      <c r="B493" s="36" t="s">
        <v>10</v>
      </c>
      <c r="C493" s="37" t="s">
        <v>26</v>
      </c>
      <c r="D493" s="37" t="s">
        <v>8</v>
      </c>
      <c r="E493" s="37" t="s">
        <v>28</v>
      </c>
      <c r="F493" s="38">
        <v>43481</v>
      </c>
      <c r="G493" s="44">
        <v>4799.7000000000007</v>
      </c>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10"/>
      <c r="AG493" s="5"/>
    </row>
    <row r="494" spans="2:33" x14ac:dyDescent="0.25">
      <c r="B494" s="33" t="s">
        <v>17</v>
      </c>
      <c r="C494" s="34" t="s">
        <v>34</v>
      </c>
      <c r="D494" s="34" t="s">
        <v>9</v>
      </c>
      <c r="E494" s="34" t="s">
        <v>31</v>
      </c>
      <c r="F494" s="35">
        <v>43481</v>
      </c>
      <c r="G494" s="43">
        <v>4432.3499999999995</v>
      </c>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10"/>
      <c r="AG494" s="5"/>
    </row>
    <row r="495" spans="2:33" x14ac:dyDescent="0.25">
      <c r="B495" s="36" t="s">
        <v>20</v>
      </c>
      <c r="C495" s="37" t="s">
        <v>25</v>
      </c>
      <c r="D495" s="37" t="s">
        <v>7</v>
      </c>
      <c r="E495" s="37" t="s">
        <v>30</v>
      </c>
      <c r="F495" s="38">
        <v>43482</v>
      </c>
      <c r="G495" s="44">
        <v>2534.25</v>
      </c>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10"/>
      <c r="AG495" s="5"/>
    </row>
    <row r="496" spans="2:33" x14ac:dyDescent="0.25">
      <c r="B496" s="33" t="s">
        <v>14</v>
      </c>
      <c r="C496" s="34" t="s">
        <v>34</v>
      </c>
      <c r="D496" s="34" t="s">
        <v>7</v>
      </c>
      <c r="E496" s="34" t="s">
        <v>29</v>
      </c>
      <c r="F496" s="35">
        <v>43482</v>
      </c>
      <c r="G496" s="43">
        <v>4091.3999999999996</v>
      </c>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10"/>
      <c r="AG496" s="5"/>
    </row>
    <row r="497" spans="2:33" x14ac:dyDescent="0.25">
      <c r="B497" s="36" t="s">
        <v>16</v>
      </c>
      <c r="C497" s="37" t="s">
        <v>34</v>
      </c>
      <c r="D497" s="37" t="s">
        <v>7</v>
      </c>
      <c r="E497" s="37" t="s">
        <v>31</v>
      </c>
      <c r="F497" s="38">
        <v>43482</v>
      </c>
      <c r="G497" s="44">
        <v>681.9</v>
      </c>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10"/>
      <c r="AG497" s="5"/>
    </row>
    <row r="498" spans="2:33" x14ac:dyDescent="0.25">
      <c r="B498" s="33" t="s">
        <v>16</v>
      </c>
      <c r="C498" s="34" t="s">
        <v>24</v>
      </c>
      <c r="D498" s="34" t="s">
        <v>7</v>
      </c>
      <c r="E498" s="34" t="s">
        <v>30</v>
      </c>
      <c r="F498" s="35">
        <v>43483</v>
      </c>
      <c r="G498" s="43">
        <v>159.97999999999999</v>
      </c>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10"/>
      <c r="AG498" s="5"/>
    </row>
    <row r="499" spans="2:33" x14ac:dyDescent="0.25">
      <c r="B499" s="36" t="s">
        <v>15</v>
      </c>
      <c r="C499" s="37" t="s">
        <v>24</v>
      </c>
      <c r="D499" s="37" t="s">
        <v>22</v>
      </c>
      <c r="E499" s="37" t="s">
        <v>28</v>
      </c>
      <c r="F499" s="38">
        <v>43483</v>
      </c>
      <c r="G499" s="44">
        <v>639.91999999999996</v>
      </c>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10"/>
      <c r="AG499" s="5"/>
    </row>
    <row r="500" spans="2:33" x14ac:dyDescent="0.25">
      <c r="B500" s="33" t="s">
        <v>17</v>
      </c>
      <c r="C500" s="34" t="s">
        <v>27</v>
      </c>
      <c r="D500" s="34" t="s">
        <v>9</v>
      </c>
      <c r="E500" s="34" t="s">
        <v>32</v>
      </c>
      <c r="F500" s="35">
        <v>43483</v>
      </c>
      <c r="G500" s="43">
        <v>3409.5</v>
      </c>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10"/>
      <c r="AG500" s="5"/>
    </row>
    <row r="501" spans="2:33" x14ac:dyDescent="0.25">
      <c r="B501" s="36" t="s">
        <v>14</v>
      </c>
      <c r="C501" s="37" t="s">
        <v>26</v>
      </c>
      <c r="D501" s="37" t="s">
        <v>7</v>
      </c>
      <c r="E501" s="37" t="s">
        <v>30</v>
      </c>
      <c r="F501" s="38">
        <v>43486</v>
      </c>
      <c r="G501" s="44">
        <v>2399.8500000000004</v>
      </c>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10"/>
      <c r="AG501" s="5"/>
    </row>
    <row r="502" spans="2:33" x14ac:dyDescent="0.25">
      <c r="B502" s="33" t="s">
        <v>13</v>
      </c>
      <c r="C502" s="34" t="s">
        <v>24</v>
      </c>
      <c r="D502" s="34" t="s">
        <v>7</v>
      </c>
      <c r="E502" s="34" t="s">
        <v>29</v>
      </c>
      <c r="F502" s="35">
        <v>43486</v>
      </c>
      <c r="G502" s="43">
        <v>1119.8599999999999</v>
      </c>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10"/>
      <c r="AG502" s="5"/>
    </row>
    <row r="503" spans="2:33" x14ac:dyDescent="0.25">
      <c r="B503" s="36" t="s">
        <v>14</v>
      </c>
      <c r="C503" s="37" t="s">
        <v>34</v>
      </c>
      <c r="D503" s="37" t="s">
        <v>7</v>
      </c>
      <c r="E503" s="37" t="s">
        <v>31</v>
      </c>
      <c r="F503" s="38">
        <v>43486</v>
      </c>
      <c r="G503" s="44">
        <v>2727.6</v>
      </c>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10"/>
      <c r="AG503" s="5"/>
    </row>
    <row r="504" spans="2:33" x14ac:dyDescent="0.25">
      <c r="B504" s="33" t="s">
        <v>21</v>
      </c>
      <c r="C504" s="34" t="s">
        <v>26</v>
      </c>
      <c r="D504" s="34" t="s">
        <v>8</v>
      </c>
      <c r="E504" s="34" t="s">
        <v>29</v>
      </c>
      <c r="F504" s="35">
        <v>43487</v>
      </c>
      <c r="G504" s="43">
        <v>7999.5</v>
      </c>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10"/>
      <c r="AG504" s="5"/>
    </row>
    <row r="505" spans="2:33" x14ac:dyDescent="0.25">
      <c r="B505" s="36" t="s">
        <v>15</v>
      </c>
      <c r="C505" s="37" t="s">
        <v>26</v>
      </c>
      <c r="D505" s="37" t="s">
        <v>22</v>
      </c>
      <c r="E505" s="37" t="s">
        <v>28</v>
      </c>
      <c r="F505" s="38">
        <v>43489</v>
      </c>
      <c r="G505" s="44">
        <v>11999.25</v>
      </c>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10"/>
      <c r="AG505" s="5"/>
    </row>
    <row r="506" spans="2:33" x14ac:dyDescent="0.25">
      <c r="B506" s="33" t="s">
        <v>10</v>
      </c>
      <c r="C506" s="34" t="s">
        <v>27</v>
      </c>
      <c r="D506" s="34" t="s">
        <v>8</v>
      </c>
      <c r="E506" s="34" t="s">
        <v>32</v>
      </c>
      <c r="F506" s="35">
        <v>43489</v>
      </c>
      <c r="G506" s="43">
        <v>3750.45</v>
      </c>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10"/>
      <c r="AG506" s="5"/>
    </row>
    <row r="507" spans="2:33" x14ac:dyDescent="0.25">
      <c r="B507" s="36" t="s">
        <v>21</v>
      </c>
      <c r="C507" s="37" t="s">
        <v>24</v>
      </c>
      <c r="D507" s="37" t="s">
        <v>8</v>
      </c>
      <c r="E507" s="37" t="s">
        <v>31</v>
      </c>
      <c r="F507" s="38">
        <v>43490</v>
      </c>
      <c r="G507" s="44">
        <v>799.9</v>
      </c>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10"/>
      <c r="AG507" s="5"/>
    </row>
    <row r="508" spans="2:33" x14ac:dyDescent="0.25">
      <c r="B508" s="33" t="s">
        <v>10</v>
      </c>
      <c r="C508" s="34" t="s">
        <v>25</v>
      </c>
      <c r="D508" s="34" t="s">
        <v>8</v>
      </c>
      <c r="E508" s="34" t="s">
        <v>32</v>
      </c>
      <c r="F508" s="35">
        <v>43492</v>
      </c>
      <c r="G508" s="43">
        <v>1858.4499999999998</v>
      </c>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10"/>
      <c r="AG508" s="5"/>
    </row>
    <row r="509" spans="2:33" x14ac:dyDescent="0.25">
      <c r="B509" s="36" t="s">
        <v>20</v>
      </c>
      <c r="C509" s="37" t="s">
        <v>26</v>
      </c>
      <c r="D509" s="37" t="s">
        <v>7</v>
      </c>
      <c r="E509" s="37" t="s">
        <v>30</v>
      </c>
      <c r="F509" s="38">
        <v>43493</v>
      </c>
      <c r="G509" s="44">
        <v>1599.9</v>
      </c>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10"/>
      <c r="AG509" s="5"/>
    </row>
    <row r="510" spans="2:33" x14ac:dyDescent="0.25">
      <c r="B510" s="33" t="s">
        <v>11</v>
      </c>
      <c r="C510" s="34" t="s">
        <v>34</v>
      </c>
      <c r="D510" s="34" t="s">
        <v>9</v>
      </c>
      <c r="E510" s="34" t="s">
        <v>32</v>
      </c>
      <c r="F510" s="35">
        <v>43493</v>
      </c>
      <c r="G510" s="43">
        <v>5114.25</v>
      </c>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10"/>
      <c r="AG510" s="5"/>
    </row>
    <row r="511" spans="2:33" x14ac:dyDescent="0.25">
      <c r="B511" s="36" t="s">
        <v>19</v>
      </c>
      <c r="C511" s="37" t="s">
        <v>26</v>
      </c>
      <c r="D511" s="37" t="s">
        <v>22</v>
      </c>
      <c r="E511" s="37" t="s">
        <v>29</v>
      </c>
      <c r="F511" s="38">
        <v>43493</v>
      </c>
      <c r="G511" s="44">
        <v>8799.4500000000007</v>
      </c>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10"/>
      <c r="AG511" s="5"/>
    </row>
    <row r="512" spans="2:33" x14ac:dyDescent="0.25">
      <c r="B512" s="33" t="s">
        <v>19</v>
      </c>
      <c r="C512" s="34" t="s">
        <v>27</v>
      </c>
      <c r="D512" s="34" t="s">
        <v>22</v>
      </c>
      <c r="E512" s="34" t="s">
        <v>28</v>
      </c>
      <c r="F512" s="35">
        <v>43494</v>
      </c>
      <c r="G512" s="43">
        <v>5796.15</v>
      </c>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10"/>
      <c r="AG512" s="5"/>
    </row>
    <row r="513" spans="2:33" x14ac:dyDescent="0.25">
      <c r="B513" s="36" t="s">
        <v>14</v>
      </c>
      <c r="C513" s="37" t="s">
        <v>27</v>
      </c>
      <c r="D513" s="37" t="s">
        <v>7</v>
      </c>
      <c r="E513" s="37" t="s">
        <v>32</v>
      </c>
      <c r="F513" s="38">
        <v>43494</v>
      </c>
      <c r="G513" s="44">
        <v>2727.6</v>
      </c>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10"/>
      <c r="AG513" s="5"/>
    </row>
    <row r="514" spans="2:33" x14ac:dyDescent="0.25">
      <c r="B514" s="33" t="s">
        <v>17</v>
      </c>
      <c r="C514" s="34" t="s">
        <v>25</v>
      </c>
      <c r="D514" s="34" t="s">
        <v>9</v>
      </c>
      <c r="E514" s="34" t="s">
        <v>30</v>
      </c>
      <c r="F514" s="35">
        <v>43495</v>
      </c>
      <c r="G514" s="43">
        <v>1520.55</v>
      </c>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10"/>
      <c r="AG514" s="5"/>
    </row>
    <row r="515" spans="2:33" x14ac:dyDescent="0.25">
      <c r="B515" s="36" t="s">
        <v>21</v>
      </c>
      <c r="C515" s="37" t="s">
        <v>24</v>
      </c>
      <c r="D515" s="37" t="s">
        <v>8</v>
      </c>
      <c r="E515" s="37" t="s">
        <v>29</v>
      </c>
      <c r="F515" s="38">
        <v>43495</v>
      </c>
      <c r="G515" s="44">
        <v>159.97999999999999</v>
      </c>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10"/>
      <c r="AG515" s="5"/>
    </row>
    <row r="516" spans="2:33" x14ac:dyDescent="0.25">
      <c r="B516" s="33" t="s">
        <v>12</v>
      </c>
      <c r="C516" s="34" t="s">
        <v>26</v>
      </c>
      <c r="D516" s="34" t="s">
        <v>22</v>
      </c>
      <c r="E516" s="34" t="s">
        <v>31</v>
      </c>
      <c r="F516" s="35">
        <v>43496</v>
      </c>
      <c r="G516" s="43">
        <v>11999.25</v>
      </c>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10"/>
      <c r="AG516" s="5"/>
    </row>
    <row r="517" spans="2:33" x14ac:dyDescent="0.25">
      <c r="B517" s="36" t="s">
        <v>13</v>
      </c>
      <c r="C517" s="37" t="s">
        <v>25</v>
      </c>
      <c r="D517" s="37" t="s">
        <v>7</v>
      </c>
      <c r="E517" s="37" t="s">
        <v>30</v>
      </c>
      <c r="F517" s="38">
        <v>43497</v>
      </c>
      <c r="G517" s="44">
        <v>675.8</v>
      </c>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10"/>
      <c r="AG517" s="5"/>
    </row>
    <row r="518" spans="2:33" x14ac:dyDescent="0.25">
      <c r="B518" s="33" t="s">
        <v>17</v>
      </c>
      <c r="C518" s="34" t="s">
        <v>27</v>
      </c>
      <c r="D518" s="34" t="s">
        <v>9</v>
      </c>
      <c r="E518" s="34" t="s">
        <v>30</v>
      </c>
      <c r="F518" s="35">
        <v>43497</v>
      </c>
      <c r="G518" s="43">
        <v>5114.25</v>
      </c>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10"/>
      <c r="AG518" s="5"/>
    </row>
    <row r="519" spans="2:33" x14ac:dyDescent="0.25">
      <c r="B519" s="36" t="s">
        <v>14</v>
      </c>
      <c r="C519" s="37" t="s">
        <v>25</v>
      </c>
      <c r="D519" s="37" t="s">
        <v>7</v>
      </c>
      <c r="E519" s="37" t="s">
        <v>28</v>
      </c>
      <c r="F519" s="38">
        <v>43499</v>
      </c>
      <c r="G519" s="44">
        <v>2196.35</v>
      </c>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10"/>
      <c r="AG519" s="5"/>
    </row>
    <row r="520" spans="2:33" x14ac:dyDescent="0.25">
      <c r="B520" s="33" t="s">
        <v>18</v>
      </c>
      <c r="C520" s="34" t="s">
        <v>24</v>
      </c>
      <c r="D520" s="34" t="s">
        <v>22</v>
      </c>
      <c r="E520" s="34" t="s">
        <v>32</v>
      </c>
      <c r="F520" s="35">
        <v>43499</v>
      </c>
      <c r="G520" s="43">
        <v>639.91999999999996</v>
      </c>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10"/>
      <c r="AG520" s="5"/>
    </row>
    <row r="521" spans="2:33" x14ac:dyDescent="0.25">
      <c r="B521" s="36" t="s">
        <v>21</v>
      </c>
      <c r="C521" s="37" t="s">
        <v>24</v>
      </c>
      <c r="D521" s="37" t="s">
        <v>8</v>
      </c>
      <c r="E521" s="37" t="s">
        <v>32</v>
      </c>
      <c r="F521" s="38">
        <v>43499</v>
      </c>
      <c r="G521" s="44">
        <v>79.989999999999995</v>
      </c>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10"/>
      <c r="AG521" s="5"/>
    </row>
    <row r="522" spans="2:33" x14ac:dyDescent="0.25">
      <c r="B522" s="33" t="s">
        <v>12</v>
      </c>
      <c r="C522" s="34" t="s">
        <v>25</v>
      </c>
      <c r="D522" s="34" t="s">
        <v>22</v>
      </c>
      <c r="E522" s="34" t="s">
        <v>32</v>
      </c>
      <c r="F522" s="35">
        <v>43499</v>
      </c>
      <c r="G522" s="43">
        <v>2196.35</v>
      </c>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10"/>
      <c r="AG522" s="5"/>
    </row>
    <row r="523" spans="2:33" x14ac:dyDescent="0.25">
      <c r="B523" s="36" t="s">
        <v>12</v>
      </c>
      <c r="C523" s="37" t="s">
        <v>34</v>
      </c>
      <c r="D523" s="37" t="s">
        <v>22</v>
      </c>
      <c r="E523" s="37" t="s">
        <v>28</v>
      </c>
      <c r="F523" s="38">
        <v>43500</v>
      </c>
      <c r="G523" s="44">
        <v>4432.3499999999995</v>
      </c>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10"/>
      <c r="AG523" s="5"/>
    </row>
    <row r="524" spans="2:33" x14ac:dyDescent="0.25">
      <c r="B524" s="33" t="s">
        <v>10</v>
      </c>
      <c r="C524" s="34" t="s">
        <v>34</v>
      </c>
      <c r="D524" s="34" t="s">
        <v>8</v>
      </c>
      <c r="E524" s="34" t="s">
        <v>28</v>
      </c>
      <c r="F524" s="35">
        <v>43501</v>
      </c>
      <c r="G524" s="43">
        <v>4091.3999999999996</v>
      </c>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10"/>
      <c r="AG524" s="5"/>
    </row>
    <row r="525" spans="2:33" x14ac:dyDescent="0.25">
      <c r="B525" s="36" t="s">
        <v>10</v>
      </c>
      <c r="C525" s="37" t="s">
        <v>34</v>
      </c>
      <c r="D525" s="37" t="s">
        <v>8</v>
      </c>
      <c r="E525" s="37" t="s">
        <v>31</v>
      </c>
      <c r="F525" s="38">
        <v>43501</v>
      </c>
      <c r="G525" s="44">
        <v>3068.5499999999997</v>
      </c>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10"/>
      <c r="AG525" s="5"/>
    </row>
    <row r="526" spans="2:33" x14ac:dyDescent="0.25">
      <c r="B526" s="33" t="s">
        <v>14</v>
      </c>
      <c r="C526" s="34" t="s">
        <v>25</v>
      </c>
      <c r="D526" s="34" t="s">
        <v>7</v>
      </c>
      <c r="E526" s="34" t="s">
        <v>31</v>
      </c>
      <c r="F526" s="35">
        <v>43501</v>
      </c>
      <c r="G526" s="43">
        <v>1013.6999999999999</v>
      </c>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10"/>
      <c r="AG526" s="5"/>
    </row>
    <row r="527" spans="2:33" x14ac:dyDescent="0.25">
      <c r="B527" s="36" t="s">
        <v>11</v>
      </c>
      <c r="C527" s="37" t="s">
        <v>34</v>
      </c>
      <c r="D527" s="37" t="s">
        <v>9</v>
      </c>
      <c r="E527" s="37" t="s">
        <v>29</v>
      </c>
      <c r="F527" s="38">
        <v>43502</v>
      </c>
      <c r="G527" s="44">
        <v>4773.3</v>
      </c>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10"/>
      <c r="AG527" s="5"/>
    </row>
    <row r="528" spans="2:33" x14ac:dyDescent="0.25">
      <c r="B528" s="33" t="s">
        <v>21</v>
      </c>
      <c r="C528" s="34" t="s">
        <v>24</v>
      </c>
      <c r="D528" s="34" t="s">
        <v>8</v>
      </c>
      <c r="E528" s="34" t="s">
        <v>29</v>
      </c>
      <c r="F528" s="35">
        <v>43502</v>
      </c>
      <c r="G528" s="43">
        <v>239.96999999999997</v>
      </c>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10"/>
      <c r="AG528" s="5"/>
    </row>
    <row r="529" spans="2:33" x14ac:dyDescent="0.25">
      <c r="B529" s="36" t="s">
        <v>20</v>
      </c>
      <c r="C529" s="37" t="s">
        <v>26</v>
      </c>
      <c r="D529" s="37" t="s">
        <v>7</v>
      </c>
      <c r="E529" s="37" t="s">
        <v>32</v>
      </c>
      <c r="F529" s="38">
        <v>43503</v>
      </c>
      <c r="G529" s="44">
        <v>4799.7000000000007</v>
      </c>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10"/>
      <c r="AG529" s="5"/>
    </row>
    <row r="530" spans="2:33" x14ac:dyDescent="0.25">
      <c r="B530" s="33" t="s">
        <v>13</v>
      </c>
      <c r="C530" s="34" t="s">
        <v>24</v>
      </c>
      <c r="D530" s="34" t="s">
        <v>7</v>
      </c>
      <c r="E530" s="34" t="s">
        <v>32</v>
      </c>
      <c r="F530" s="35">
        <v>43503</v>
      </c>
      <c r="G530" s="43">
        <v>79.989999999999995</v>
      </c>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10"/>
      <c r="AG530" s="5"/>
    </row>
    <row r="531" spans="2:33" x14ac:dyDescent="0.25">
      <c r="B531" s="36" t="s">
        <v>15</v>
      </c>
      <c r="C531" s="37" t="s">
        <v>25</v>
      </c>
      <c r="D531" s="37" t="s">
        <v>22</v>
      </c>
      <c r="E531" s="37" t="s">
        <v>30</v>
      </c>
      <c r="F531" s="38">
        <v>43507</v>
      </c>
      <c r="G531" s="44">
        <v>2365.2999999999997</v>
      </c>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10"/>
      <c r="AG531" s="5"/>
    </row>
    <row r="532" spans="2:33" x14ac:dyDescent="0.25">
      <c r="B532" s="33" t="s">
        <v>12</v>
      </c>
      <c r="C532" s="34" t="s">
        <v>34</v>
      </c>
      <c r="D532" s="34" t="s">
        <v>22</v>
      </c>
      <c r="E532" s="34" t="s">
        <v>28</v>
      </c>
      <c r="F532" s="35">
        <v>43507</v>
      </c>
      <c r="G532" s="43">
        <v>3750.45</v>
      </c>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10"/>
      <c r="AG532" s="5"/>
    </row>
    <row r="533" spans="2:33" x14ac:dyDescent="0.25">
      <c r="B533" s="36" t="s">
        <v>18</v>
      </c>
      <c r="C533" s="37" t="s">
        <v>34</v>
      </c>
      <c r="D533" s="37" t="s">
        <v>22</v>
      </c>
      <c r="E533" s="37" t="s">
        <v>32</v>
      </c>
      <c r="F533" s="38">
        <v>43507</v>
      </c>
      <c r="G533" s="44">
        <v>2386.65</v>
      </c>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10"/>
      <c r="AG533" s="5"/>
    </row>
    <row r="534" spans="2:33" x14ac:dyDescent="0.25">
      <c r="B534" s="33" t="s">
        <v>15</v>
      </c>
      <c r="C534" s="34" t="s">
        <v>26</v>
      </c>
      <c r="D534" s="34" t="s">
        <v>22</v>
      </c>
      <c r="E534" s="34" t="s">
        <v>32</v>
      </c>
      <c r="F534" s="35">
        <v>43507</v>
      </c>
      <c r="G534" s="43">
        <v>8799.4500000000007</v>
      </c>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10"/>
      <c r="AG534" s="5"/>
    </row>
    <row r="535" spans="2:33" x14ac:dyDescent="0.25">
      <c r="B535" s="36" t="s">
        <v>19</v>
      </c>
      <c r="C535" s="37" t="s">
        <v>25</v>
      </c>
      <c r="D535" s="37" t="s">
        <v>22</v>
      </c>
      <c r="E535" s="37" t="s">
        <v>31</v>
      </c>
      <c r="F535" s="38">
        <v>43507</v>
      </c>
      <c r="G535" s="44">
        <v>1182.6499999999999</v>
      </c>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10"/>
      <c r="AG535" s="5"/>
    </row>
    <row r="536" spans="2:33" x14ac:dyDescent="0.25">
      <c r="B536" s="33" t="s">
        <v>13</v>
      </c>
      <c r="C536" s="34" t="s">
        <v>25</v>
      </c>
      <c r="D536" s="34" t="s">
        <v>7</v>
      </c>
      <c r="E536" s="34" t="s">
        <v>28</v>
      </c>
      <c r="F536" s="35">
        <v>43513</v>
      </c>
      <c r="G536" s="43">
        <v>2365.2999999999997</v>
      </c>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10"/>
      <c r="AG536" s="5"/>
    </row>
    <row r="537" spans="2:33" x14ac:dyDescent="0.25">
      <c r="B537" s="36" t="s">
        <v>12</v>
      </c>
      <c r="C537" s="37" t="s">
        <v>27</v>
      </c>
      <c r="D537" s="37" t="s">
        <v>22</v>
      </c>
      <c r="E537" s="37" t="s">
        <v>32</v>
      </c>
      <c r="F537" s="38">
        <v>43514</v>
      </c>
      <c r="G537" s="44">
        <v>681.9</v>
      </c>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10"/>
      <c r="AG537" s="5"/>
    </row>
    <row r="538" spans="2:33" x14ac:dyDescent="0.25">
      <c r="B538" s="33" t="s">
        <v>10</v>
      </c>
      <c r="C538" s="34" t="s">
        <v>27</v>
      </c>
      <c r="D538" s="34" t="s">
        <v>8</v>
      </c>
      <c r="E538" s="34" t="s">
        <v>31</v>
      </c>
      <c r="F538" s="35">
        <v>43514</v>
      </c>
      <c r="G538" s="43">
        <v>5114.25</v>
      </c>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10"/>
      <c r="AG538" s="5"/>
    </row>
    <row r="539" spans="2:33" x14ac:dyDescent="0.25">
      <c r="B539" s="36" t="s">
        <v>12</v>
      </c>
      <c r="C539" s="37" t="s">
        <v>27</v>
      </c>
      <c r="D539" s="37" t="s">
        <v>22</v>
      </c>
      <c r="E539" s="37" t="s">
        <v>30</v>
      </c>
      <c r="F539" s="38">
        <v>43515</v>
      </c>
      <c r="G539" s="44">
        <v>2386.65</v>
      </c>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10"/>
      <c r="AG539" s="5"/>
    </row>
    <row r="540" spans="2:33" x14ac:dyDescent="0.25">
      <c r="B540" s="33" t="s">
        <v>17</v>
      </c>
      <c r="C540" s="34" t="s">
        <v>26</v>
      </c>
      <c r="D540" s="34" t="s">
        <v>9</v>
      </c>
      <c r="E540" s="34" t="s">
        <v>29</v>
      </c>
      <c r="F540" s="35">
        <v>43516</v>
      </c>
      <c r="G540" s="43">
        <v>3199.8</v>
      </c>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10"/>
      <c r="AG540" s="5"/>
    </row>
    <row r="541" spans="2:33" x14ac:dyDescent="0.25">
      <c r="B541" s="36" t="s">
        <v>10</v>
      </c>
      <c r="C541" s="37" t="s">
        <v>27</v>
      </c>
      <c r="D541" s="37" t="s">
        <v>8</v>
      </c>
      <c r="E541" s="37" t="s">
        <v>30</v>
      </c>
      <c r="F541" s="38">
        <v>43518</v>
      </c>
      <c r="G541" s="44">
        <v>2045.6999999999998</v>
      </c>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10"/>
      <c r="AG541" s="5"/>
    </row>
    <row r="542" spans="2:33" x14ac:dyDescent="0.25">
      <c r="B542" s="33" t="s">
        <v>21</v>
      </c>
      <c r="C542" s="34" t="s">
        <v>24</v>
      </c>
      <c r="D542" s="34" t="s">
        <v>8</v>
      </c>
      <c r="E542" s="34" t="s">
        <v>30</v>
      </c>
      <c r="F542" s="35">
        <v>43518</v>
      </c>
      <c r="G542" s="43">
        <v>239.96999999999997</v>
      </c>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10"/>
      <c r="AG542" s="5"/>
    </row>
    <row r="543" spans="2:33" x14ac:dyDescent="0.25">
      <c r="B543" s="36" t="s">
        <v>13</v>
      </c>
      <c r="C543" s="37" t="s">
        <v>34</v>
      </c>
      <c r="D543" s="37" t="s">
        <v>7</v>
      </c>
      <c r="E543" s="37" t="s">
        <v>28</v>
      </c>
      <c r="F543" s="38">
        <v>43518</v>
      </c>
      <c r="G543" s="44">
        <v>6478.05</v>
      </c>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10"/>
      <c r="AG543" s="5"/>
    </row>
    <row r="544" spans="2:33" x14ac:dyDescent="0.25">
      <c r="B544" s="33" t="s">
        <v>18</v>
      </c>
      <c r="C544" s="34" t="s">
        <v>26</v>
      </c>
      <c r="D544" s="34" t="s">
        <v>22</v>
      </c>
      <c r="E544" s="34" t="s">
        <v>31</v>
      </c>
      <c r="F544" s="35">
        <v>43518</v>
      </c>
      <c r="G544" s="43">
        <v>10399.35</v>
      </c>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10"/>
      <c r="AG544" s="5"/>
    </row>
    <row r="545" spans="2:33" x14ac:dyDescent="0.25">
      <c r="B545" s="36" t="s">
        <v>14</v>
      </c>
      <c r="C545" s="37" t="s">
        <v>34</v>
      </c>
      <c r="D545" s="37" t="s">
        <v>7</v>
      </c>
      <c r="E545" s="37" t="s">
        <v>30</v>
      </c>
      <c r="F545" s="38">
        <v>43520</v>
      </c>
      <c r="G545" s="44">
        <v>3750.45</v>
      </c>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10"/>
      <c r="AG545" s="5"/>
    </row>
    <row r="546" spans="2:33" x14ac:dyDescent="0.25">
      <c r="B546" s="33" t="s">
        <v>15</v>
      </c>
      <c r="C546" s="34" t="s">
        <v>34</v>
      </c>
      <c r="D546" s="34" t="s">
        <v>22</v>
      </c>
      <c r="E546" s="34" t="s">
        <v>32</v>
      </c>
      <c r="F546" s="35">
        <v>43521</v>
      </c>
      <c r="G546" s="43">
        <v>2045.6999999999998</v>
      </c>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10"/>
      <c r="AG546" s="5"/>
    </row>
    <row r="547" spans="2:33" x14ac:dyDescent="0.25">
      <c r="B547" s="36" t="s">
        <v>21</v>
      </c>
      <c r="C547" s="37" t="s">
        <v>34</v>
      </c>
      <c r="D547" s="37" t="s">
        <v>8</v>
      </c>
      <c r="E547" s="37" t="s">
        <v>31</v>
      </c>
      <c r="F547" s="38">
        <v>43521</v>
      </c>
      <c r="G547" s="44">
        <v>1022.8499999999999</v>
      </c>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10"/>
      <c r="AG547" s="5"/>
    </row>
    <row r="548" spans="2:33" x14ac:dyDescent="0.25">
      <c r="B548" s="33" t="s">
        <v>13</v>
      </c>
      <c r="C548" s="34" t="s">
        <v>24</v>
      </c>
      <c r="D548" s="34" t="s">
        <v>7</v>
      </c>
      <c r="E548" s="34" t="s">
        <v>32</v>
      </c>
      <c r="F548" s="35">
        <v>43523</v>
      </c>
      <c r="G548" s="43">
        <v>479.93999999999994</v>
      </c>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10"/>
      <c r="AG548" s="5"/>
    </row>
    <row r="549" spans="2:33" x14ac:dyDescent="0.25">
      <c r="B549" s="36" t="s">
        <v>20</v>
      </c>
      <c r="C549" s="37" t="s">
        <v>25</v>
      </c>
      <c r="D549" s="37" t="s">
        <v>7</v>
      </c>
      <c r="E549" s="37" t="s">
        <v>31</v>
      </c>
      <c r="F549" s="38">
        <v>43523</v>
      </c>
      <c r="G549" s="44">
        <v>1351.6</v>
      </c>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10"/>
      <c r="AG549" s="5"/>
    </row>
    <row r="550" spans="2:33" x14ac:dyDescent="0.25">
      <c r="B550" s="33" t="s">
        <v>13</v>
      </c>
      <c r="C550" s="34" t="s">
        <v>27</v>
      </c>
      <c r="D550" s="34" t="s">
        <v>7</v>
      </c>
      <c r="E550" s="34" t="s">
        <v>29</v>
      </c>
      <c r="F550" s="35">
        <v>43525</v>
      </c>
      <c r="G550" s="43">
        <v>3750.45</v>
      </c>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10"/>
      <c r="AG550" s="5"/>
    </row>
    <row r="551" spans="2:33" x14ac:dyDescent="0.25">
      <c r="B551" s="36" t="s">
        <v>14</v>
      </c>
      <c r="C551" s="37" t="s">
        <v>27</v>
      </c>
      <c r="D551" s="37" t="s">
        <v>7</v>
      </c>
      <c r="E551" s="37" t="s">
        <v>29</v>
      </c>
      <c r="F551" s="38">
        <v>43525</v>
      </c>
      <c r="G551" s="44">
        <v>3750.45</v>
      </c>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10"/>
      <c r="AG551" s="5"/>
    </row>
    <row r="552" spans="2:33" x14ac:dyDescent="0.25">
      <c r="B552" s="33" t="s">
        <v>18</v>
      </c>
      <c r="C552" s="34" t="s">
        <v>27</v>
      </c>
      <c r="D552" s="34" t="s">
        <v>22</v>
      </c>
      <c r="E552" s="34" t="s">
        <v>31</v>
      </c>
      <c r="F552" s="35">
        <v>43527</v>
      </c>
      <c r="G552" s="43">
        <v>4091.3999999999996</v>
      </c>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10"/>
      <c r="AG552" s="5"/>
    </row>
    <row r="553" spans="2:33" x14ac:dyDescent="0.25">
      <c r="B553" s="36" t="s">
        <v>19</v>
      </c>
      <c r="C553" s="37" t="s">
        <v>26</v>
      </c>
      <c r="D553" s="37" t="s">
        <v>22</v>
      </c>
      <c r="E553" s="37" t="s">
        <v>31</v>
      </c>
      <c r="F553" s="38">
        <v>43528</v>
      </c>
      <c r="G553" s="44">
        <v>10399.35</v>
      </c>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10"/>
      <c r="AG553" s="5"/>
    </row>
    <row r="554" spans="2:33" x14ac:dyDescent="0.25">
      <c r="B554" s="33" t="s">
        <v>18</v>
      </c>
      <c r="C554" s="34" t="s">
        <v>25</v>
      </c>
      <c r="D554" s="34" t="s">
        <v>22</v>
      </c>
      <c r="E554" s="34" t="s">
        <v>28</v>
      </c>
      <c r="F554" s="35">
        <v>43531</v>
      </c>
      <c r="G554" s="43">
        <v>1351.6</v>
      </c>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10"/>
      <c r="AG554" s="5"/>
    </row>
    <row r="555" spans="2:33" x14ac:dyDescent="0.25">
      <c r="B555" s="36" t="s">
        <v>21</v>
      </c>
      <c r="C555" s="37" t="s">
        <v>34</v>
      </c>
      <c r="D555" s="37" t="s">
        <v>8</v>
      </c>
      <c r="E555" s="37" t="s">
        <v>32</v>
      </c>
      <c r="F555" s="38">
        <v>43535</v>
      </c>
      <c r="G555" s="44">
        <v>681.9</v>
      </c>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10"/>
      <c r="AG555" s="5"/>
    </row>
    <row r="556" spans="2:33" x14ac:dyDescent="0.25">
      <c r="B556" s="33" t="s">
        <v>21</v>
      </c>
      <c r="C556" s="34" t="s">
        <v>24</v>
      </c>
      <c r="D556" s="34" t="s">
        <v>8</v>
      </c>
      <c r="E556" s="34" t="s">
        <v>32</v>
      </c>
      <c r="F556" s="35">
        <v>43535</v>
      </c>
      <c r="G556" s="43">
        <v>159.97999999999999</v>
      </c>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10"/>
      <c r="AG556" s="5"/>
    </row>
    <row r="557" spans="2:33" x14ac:dyDescent="0.25">
      <c r="B557" s="36" t="s">
        <v>15</v>
      </c>
      <c r="C557" s="37" t="s">
        <v>27</v>
      </c>
      <c r="D557" s="37" t="s">
        <v>22</v>
      </c>
      <c r="E557" s="37" t="s">
        <v>29</v>
      </c>
      <c r="F557" s="38">
        <v>43535</v>
      </c>
      <c r="G557" s="44">
        <v>4091.3999999999996</v>
      </c>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10"/>
      <c r="AG557" s="5"/>
    </row>
    <row r="558" spans="2:33" x14ac:dyDescent="0.25">
      <c r="B558" s="33" t="s">
        <v>15</v>
      </c>
      <c r="C558" s="34" t="s">
        <v>34</v>
      </c>
      <c r="D558" s="34" t="s">
        <v>22</v>
      </c>
      <c r="E558" s="34" t="s">
        <v>30</v>
      </c>
      <c r="F558" s="35">
        <v>43538</v>
      </c>
      <c r="G558" s="43">
        <v>4432.3499999999995</v>
      </c>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10"/>
      <c r="AG558" s="5"/>
    </row>
    <row r="559" spans="2:33" x14ac:dyDescent="0.25">
      <c r="B559" s="36" t="s">
        <v>18</v>
      </c>
      <c r="C559" s="37" t="s">
        <v>26</v>
      </c>
      <c r="D559" s="37" t="s">
        <v>22</v>
      </c>
      <c r="E559" s="37" t="s">
        <v>28</v>
      </c>
      <c r="F559" s="38">
        <v>43538</v>
      </c>
      <c r="G559" s="44">
        <v>7199.55</v>
      </c>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10"/>
      <c r="AG559" s="5"/>
    </row>
    <row r="560" spans="2:33" x14ac:dyDescent="0.25">
      <c r="B560" s="33" t="s">
        <v>13</v>
      </c>
      <c r="C560" s="34" t="s">
        <v>27</v>
      </c>
      <c r="D560" s="34" t="s">
        <v>7</v>
      </c>
      <c r="E560" s="34" t="s">
        <v>32</v>
      </c>
      <c r="F560" s="35">
        <v>43538</v>
      </c>
      <c r="G560" s="43">
        <v>3750.45</v>
      </c>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10"/>
      <c r="AG560" s="5"/>
    </row>
    <row r="561" spans="2:33" x14ac:dyDescent="0.25">
      <c r="B561" s="36" t="s">
        <v>20</v>
      </c>
      <c r="C561" s="37" t="s">
        <v>26</v>
      </c>
      <c r="D561" s="37" t="s">
        <v>7</v>
      </c>
      <c r="E561" s="37" t="s">
        <v>28</v>
      </c>
      <c r="F561" s="38">
        <v>43539</v>
      </c>
      <c r="G561" s="44">
        <v>6399.6</v>
      </c>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10"/>
      <c r="AG561" s="5"/>
    </row>
    <row r="562" spans="2:33" x14ac:dyDescent="0.25">
      <c r="B562" s="33" t="s">
        <v>17</v>
      </c>
      <c r="C562" s="34" t="s">
        <v>34</v>
      </c>
      <c r="D562" s="34" t="s">
        <v>9</v>
      </c>
      <c r="E562" s="34" t="s">
        <v>31</v>
      </c>
      <c r="F562" s="35">
        <v>43539</v>
      </c>
      <c r="G562" s="43">
        <v>1363.8</v>
      </c>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10"/>
      <c r="AG562" s="5"/>
    </row>
    <row r="563" spans="2:33" x14ac:dyDescent="0.25">
      <c r="B563" s="36" t="s">
        <v>18</v>
      </c>
      <c r="C563" s="37" t="s">
        <v>27</v>
      </c>
      <c r="D563" s="37" t="s">
        <v>22</v>
      </c>
      <c r="E563" s="37" t="s">
        <v>29</v>
      </c>
      <c r="F563" s="38">
        <v>43542</v>
      </c>
      <c r="G563" s="44">
        <v>1363.8</v>
      </c>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10"/>
      <c r="AG563" s="5"/>
    </row>
    <row r="564" spans="2:33" x14ac:dyDescent="0.25">
      <c r="B564" s="33" t="s">
        <v>21</v>
      </c>
      <c r="C564" s="34" t="s">
        <v>27</v>
      </c>
      <c r="D564" s="34" t="s">
        <v>8</v>
      </c>
      <c r="E564" s="34" t="s">
        <v>31</v>
      </c>
      <c r="F564" s="35">
        <v>43542</v>
      </c>
      <c r="G564" s="43">
        <v>2727.6</v>
      </c>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10"/>
      <c r="AG564" s="5"/>
    </row>
    <row r="565" spans="2:33" x14ac:dyDescent="0.25">
      <c r="B565" s="36" t="s">
        <v>15</v>
      </c>
      <c r="C565" s="37" t="s">
        <v>24</v>
      </c>
      <c r="D565" s="37" t="s">
        <v>22</v>
      </c>
      <c r="E565" s="37" t="s">
        <v>28</v>
      </c>
      <c r="F565" s="38">
        <v>43543</v>
      </c>
      <c r="G565" s="44">
        <v>1439.82</v>
      </c>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10"/>
      <c r="AG565" s="5"/>
    </row>
    <row r="566" spans="2:33" x14ac:dyDescent="0.25">
      <c r="B566" s="33" t="s">
        <v>12</v>
      </c>
      <c r="C566" s="34" t="s">
        <v>24</v>
      </c>
      <c r="D566" s="34" t="s">
        <v>22</v>
      </c>
      <c r="E566" s="34" t="s">
        <v>29</v>
      </c>
      <c r="F566" s="35">
        <v>43543</v>
      </c>
      <c r="G566" s="43">
        <v>719.91</v>
      </c>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10"/>
      <c r="AG566" s="5"/>
    </row>
    <row r="567" spans="2:33" x14ac:dyDescent="0.25">
      <c r="B567" s="36" t="s">
        <v>18</v>
      </c>
      <c r="C567" s="37" t="s">
        <v>24</v>
      </c>
      <c r="D567" s="37" t="s">
        <v>22</v>
      </c>
      <c r="E567" s="37" t="s">
        <v>30</v>
      </c>
      <c r="F567" s="38">
        <v>43546</v>
      </c>
      <c r="G567" s="44">
        <v>79.989999999999995</v>
      </c>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10"/>
      <c r="AG567" s="5"/>
    </row>
    <row r="568" spans="2:33" x14ac:dyDescent="0.25">
      <c r="B568" s="33" t="s">
        <v>19</v>
      </c>
      <c r="C568" s="34" t="s">
        <v>26</v>
      </c>
      <c r="D568" s="34" t="s">
        <v>22</v>
      </c>
      <c r="E568" s="34" t="s">
        <v>31</v>
      </c>
      <c r="F568" s="35">
        <v>43549</v>
      </c>
      <c r="G568" s="43">
        <v>7999.5</v>
      </c>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10"/>
      <c r="AG568" s="5"/>
    </row>
    <row r="569" spans="2:33" x14ac:dyDescent="0.25">
      <c r="B569" s="36" t="s">
        <v>19</v>
      </c>
      <c r="C569" s="37" t="s">
        <v>34</v>
      </c>
      <c r="D569" s="37" t="s">
        <v>22</v>
      </c>
      <c r="E569" s="37" t="s">
        <v>28</v>
      </c>
      <c r="F569" s="38">
        <v>43551</v>
      </c>
      <c r="G569" s="44">
        <v>6137.0999999999995</v>
      </c>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10"/>
      <c r="AG569" s="5"/>
    </row>
    <row r="570" spans="2:33" x14ac:dyDescent="0.25">
      <c r="B570" s="33" t="s">
        <v>10</v>
      </c>
      <c r="C570" s="34" t="s">
        <v>27</v>
      </c>
      <c r="D570" s="34" t="s">
        <v>8</v>
      </c>
      <c r="E570" s="34" t="s">
        <v>32</v>
      </c>
      <c r="F570" s="35">
        <v>43551</v>
      </c>
      <c r="G570" s="43">
        <v>1363.8</v>
      </c>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10"/>
      <c r="AG570" s="5"/>
    </row>
    <row r="571" spans="2:33" x14ac:dyDescent="0.25">
      <c r="B571" s="36" t="s">
        <v>13</v>
      </c>
      <c r="C571" s="37" t="s">
        <v>25</v>
      </c>
      <c r="D571" s="37" t="s">
        <v>7</v>
      </c>
      <c r="E571" s="37" t="s">
        <v>29</v>
      </c>
      <c r="F571" s="38">
        <v>43551</v>
      </c>
      <c r="G571" s="44">
        <v>1520.55</v>
      </c>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10"/>
      <c r="AG571" s="5"/>
    </row>
    <row r="572" spans="2:33" x14ac:dyDescent="0.25">
      <c r="B572" s="33" t="s">
        <v>14</v>
      </c>
      <c r="C572" s="34" t="s">
        <v>34</v>
      </c>
      <c r="D572" s="34" t="s">
        <v>7</v>
      </c>
      <c r="E572" s="34" t="s">
        <v>32</v>
      </c>
      <c r="F572" s="35">
        <v>43552</v>
      </c>
      <c r="G572" s="43">
        <v>1363.8</v>
      </c>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10"/>
      <c r="AG572" s="5"/>
    </row>
    <row r="573" spans="2:33" x14ac:dyDescent="0.25">
      <c r="B573" s="36" t="s">
        <v>17</v>
      </c>
      <c r="C573" s="37" t="s">
        <v>26</v>
      </c>
      <c r="D573" s="37" t="s">
        <v>9</v>
      </c>
      <c r="E573" s="37" t="s">
        <v>28</v>
      </c>
      <c r="F573" s="38">
        <v>43553</v>
      </c>
      <c r="G573" s="44">
        <v>5599.6500000000005</v>
      </c>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10"/>
      <c r="AG573" s="5"/>
    </row>
    <row r="574" spans="2:33" x14ac:dyDescent="0.25">
      <c r="B574" s="33" t="s">
        <v>13</v>
      </c>
      <c r="C574" s="34" t="s">
        <v>34</v>
      </c>
      <c r="D574" s="34" t="s">
        <v>7</v>
      </c>
      <c r="E574" s="34" t="s">
        <v>32</v>
      </c>
      <c r="F574" s="35">
        <v>43553</v>
      </c>
      <c r="G574" s="43">
        <v>2045.6999999999998</v>
      </c>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10"/>
      <c r="AG574" s="5"/>
    </row>
    <row r="575" spans="2:33" x14ac:dyDescent="0.25">
      <c r="B575" s="36" t="s">
        <v>10</v>
      </c>
      <c r="C575" s="37" t="s">
        <v>25</v>
      </c>
      <c r="D575" s="37" t="s">
        <v>8</v>
      </c>
      <c r="E575" s="37" t="s">
        <v>32</v>
      </c>
      <c r="F575" s="38">
        <v>43555</v>
      </c>
      <c r="G575" s="44">
        <v>2365.2999999999997</v>
      </c>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10"/>
      <c r="AG575" s="5"/>
    </row>
    <row r="576" spans="2:33" x14ac:dyDescent="0.25">
      <c r="B576" s="33" t="s">
        <v>18</v>
      </c>
      <c r="C576" s="34" t="s">
        <v>24</v>
      </c>
      <c r="D576" s="34" t="s">
        <v>22</v>
      </c>
      <c r="E576" s="34" t="s">
        <v>28</v>
      </c>
      <c r="F576" s="35">
        <v>43556</v>
      </c>
      <c r="G576" s="43">
        <v>719.91</v>
      </c>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10"/>
      <c r="AG576" s="5"/>
    </row>
    <row r="577" spans="2:33" x14ac:dyDescent="0.25">
      <c r="B577" s="36" t="s">
        <v>20</v>
      </c>
      <c r="C577" s="37" t="s">
        <v>34</v>
      </c>
      <c r="D577" s="37" t="s">
        <v>8</v>
      </c>
      <c r="E577" s="37" t="s">
        <v>31</v>
      </c>
      <c r="F577" s="38">
        <v>43556</v>
      </c>
      <c r="G577" s="44">
        <v>3409.5</v>
      </c>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10"/>
      <c r="AG577" s="5"/>
    </row>
    <row r="578" spans="2:33" x14ac:dyDescent="0.25">
      <c r="B578" s="33" t="s">
        <v>20</v>
      </c>
      <c r="C578" s="34" t="s">
        <v>27</v>
      </c>
      <c r="D578" s="34" t="s">
        <v>7</v>
      </c>
      <c r="E578" s="34" t="s">
        <v>31</v>
      </c>
      <c r="F578" s="35">
        <v>43556</v>
      </c>
      <c r="G578" s="43">
        <v>4432.3499999999995</v>
      </c>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10"/>
      <c r="AG578" s="5"/>
    </row>
    <row r="579" spans="2:33" x14ac:dyDescent="0.25">
      <c r="B579" s="36" t="s">
        <v>12</v>
      </c>
      <c r="C579" s="37" t="s">
        <v>26</v>
      </c>
      <c r="D579" s="37" t="s">
        <v>22</v>
      </c>
      <c r="E579" s="37" t="s">
        <v>28</v>
      </c>
      <c r="F579" s="38">
        <v>43557</v>
      </c>
      <c r="G579" s="44">
        <v>9599.4000000000015</v>
      </c>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10"/>
      <c r="AG579" s="5"/>
    </row>
    <row r="580" spans="2:33" x14ac:dyDescent="0.25">
      <c r="B580" s="33" t="s">
        <v>20</v>
      </c>
      <c r="C580" s="34" t="s">
        <v>34</v>
      </c>
      <c r="D580" s="34" t="s">
        <v>8</v>
      </c>
      <c r="E580" s="34" t="s">
        <v>32</v>
      </c>
      <c r="F580" s="35">
        <v>43557</v>
      </c>
      <c r="G580" s="43">
        <v>1363.8</v>
      </c>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10"/>
      <c r="AG580" s="5"/>
    </row>
    <row r="581" spans="2:33" x14ac:dyDescent="0.25">
      <c r="B581" s="36" t="s">
        <v>21</v>
      </c>
      <c r="C581" s="37" t="s">
        <v>27</v>
      </c>
      <c r="D581" s="37" t="s">
        <v>8</v>
      </c>
      <c r="E581" s="37" t="s">
        <v>30</v>
      </c>
      <c r="F581" s="38">
        <v>43558</v>
      </c>
      <c r="G581" s="44">
        <v>2045.6999999999998</v>
      </c>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10"/>
      <c r="AG581" s="5"/>
    </row>
    <row r="582" spans="2:33" x14ac:dyDescent="0.25">
      <c r="B582" s="33" t="s">
        <v>10</v>
      </c>
      <c r="C582" s="34" t="s">
        <v>24</v>
      </c>
      <c r="D582" s="34" t="s">
        <v>8</v>
      </c>
      <c r="E582" s="34" t="s">
        <v>32</v>
      </c>
      <c r="F582" s="35">
        <v>43559</v>
      </c>
      <c r="G582" s="43">
        <v>159.97999999999999</v>
      </c>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10"/>
      <c r="AG582" s="5"/>
    </row>
    <row r="583" spans="2:33" x14ac:dyDescent="0.25">
      <c r="B583" s="36" t="s">
        <v>21</v>
      </c>
      <c r="C583" s="37" t="s">
        <v>25</v>
      </c>
      <c r="D583" s="37" t="s">
        <v>8</v>
      </c>
      <c r="E583" s="37" t="s">
        <v>29</v>
      </c>
      <c r="F583" s="38">
        <v>43559</v>
      </c>
      <c r="G583" s="44">
        <v>2534.25</v>
      </c>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10"/>
      <c r="AG583" s="5"/>
    </row>
    <row r="584" spans="2:33" x14ac:dyDescent="0.25">
      <c r="B584" s="33" t="s">
        <v>15</v>
      </c>
      <c r="C584" s="34" t="s">
        <v>25</v>
      </c>
      <c r="D584" s="34" t="s">
        <v>22</v>
      </c>
      <c r="E584" s="34" t="s">
        <v>31</v>
      </c>
      <c r="F584" s="35">
        <v>43562</v>
      </c>
      <c r="G584" s="43">
        <v>1520.55</v>
      </c>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10"/>
      <c r="AG584" s="5"/>
    </row>
    <row r="585" spans="2:33" x14ac:dyDescent="0.25">
      <c r="B585" s="36" t="s">
        <v>14</v>
      </c>
      <c r="C585" s="37" t="s">
        <v>27</v>
      </c>
      <c r="D585" s="37" t="s">
        <v>7</v>
      </c>
      <c r="E585" s="37" t="s">
        <v>30</v>
      </c>
      <c r="F585" s="38">
        <v>43563</v>
      </c>
      <c r="G585" s="44">
        <v>1363.8</v>
      </c>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10"/>
      <c r="AG585" s="5"/>
    </row>
    <row r="586" spans="2:33" x14ac:dyDescent="0.25">
      <c r="B586" s="33" t="s">
        <v>11</v>
      </c>
      <c r="C586" s="34" t="s">
        <v>34</v>
      </c>
      <c r="D586" s="34" t="s">
        <v>9</v>
      </c>
      <c r="E586" s="34" t="s">
        <v>32</v>
      </c>
      <c r="F586" s="35">
        <v>43563</v>
      </c>
      <c r="G586" s="43">
        <v>3409.5</v>
      </c>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10"/>
      <c r="AG586" s="5"/>
    </row>
    <row r="587" spans="2:33" x14ac:dyDescent="0.25">
      <c r="B587" s="36" t="s">
        <v>18</v>
      </c>
      <c r="C587" s="37" t="s">
        <v>27</v>
      </c>
      <c r="D587" s="37" t="s">
        <v>22</v>
      </c>
      <c r="E587" s="37" t="s">
        <v>32</v>
      </c>
      <c r="F587" s="38">
        <v>43563</v>
      </c>
      <c r="G587" s="44">
        <v>3409.5</v>
      </c>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10"/>
      <c r="AG587" s="5"/>
    </row>
    <row r="588" spans="2:33" x14ac:dyDescent="0.25">
      <c r="B588" s="33" t="s">
        <v>14</v>
      </c>
      <c r="C588" s="34" t="s">
        <v>34</v>
      </c>
      <c r="D588" s="34" t="s">
        <v>7</v>
      </c>
      <c r="E588" s="34" t="s">
        <v>29</v>
      </c>
      <c r="F588" s="35">
        <v>43564</v>
      </c>
      <c r="G588" s="43">
        <v>1363.8</v>
      </c>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10"/>
      <c r="AG588" s="5"/>
    </row>
    <row r="589" spans="2:33" x14ac:dyDescent="0.25">
      <c r="B589" s="36" t="s">
        <v>20</v>
      </c>
      <c r="C589" s="37" t="s">
        <v>27</v>
      </c>
      <c r="D589" s="37" t="s">
        <v>7</v>
      </c>
      <c r="E589" s="37" t="s">
        <v>32</v>
      </c>
      <c r="F589" s="38">
        <v>43565</v>
      </c>
      <c r="G589" s="44">
        <v>2045.6999999999998</v>
      </c>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10"/>
      <c r="AG589" s="5"/>
    </row>
    <row r="590" spans="2:33" x14ac:dyDescent="0.25">
      <c r="B590" s="33" t="s">
        <v>14</v>
      </c>
      <c r="C590" s="34" t="s">
        <v>27</v>
      </c>
      <c r="D590" s="34" t="s">
        <v>7</v>
      </c>
      <c r="E590" s="34" t="s">
        <v>29</v>
      </c>
      <c r="F590" s="35">
        <v>43565</v>
      </c>
      <c r="G590" s="43">
        <v>2045.6999999999998</v>
      </c>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10"/>
      <c r="AG590" s="5"/>
    </row>
    <row r="591" spans="2:33" x14ac:dyDescent="0.25">
      <c r="B591" s="36" t="s">
        <v>21</v>
      </c>
      <c r="C591" s="37" t="s">
        <v>27</v>
      </c>
      <c r="D591" s="37" t="s">
        <v>8</v>
      </c>
      <c r="E591" s="37" t="s">
        <v>30</v>
      </c>
      <c r="F591" s="38">
        <v>43567</v>
      </c>
      <c r="G591" s="44">
        <v>2386.65</v>
      </c>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10"/>
      <c r="AG591" s="5"/>
    </row>
    <row r="592" spans="2:33" x14ac:dyDescent="0.25">
      <c r="B592" s="33" t="s">
        <v>15</v>
      </c>
      <c r="C592" s="34" t="s">
        <v>25</v>
      </c>
      <c r="D592" s="34" t="s">
        <v>22</v>
      </c>
      <c r="E592" s="34" t="s">
        <v>28</v>
      </c>
      <c r="F592" s="35">
        <v>43567</v>
      </c>
      <c r="G592" s="43">
        <v>1351.6</v>
      </c>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10"/>
      <c r="AG592" s="5"/>
    </row>
    <row r="593" spans="2:33" x14ac:dyDescent="0.25">
      <c r="B593" s="36" t="s">
        <v>12</v>
      </c>
      <c r="C593" s="37" t="s">
        <v>27</v>
      </c>
      <c r="D593" s="37" t="s">
        <v>22</v>
      </c>
      <c r="E593" s="37" t="s">
        <v>28</v>
      </c>
      <c r="F593" s="38">
        <v>43567</v>
      </c>
      <c r="G593" s="44">
        <v>5114.25</v>
      </c>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10"/>
      <c r="AG593" s="5"/>
    </row>
    <row r="594" spans="2:33" x14ac:dyDescent="0.25">
      <c r="B594" s="33" t="s">
        <v>15</v>
      </c>
      <c r="C594" s="34" t="s">
        <v>34</v>
      </c>
      <c r="D594" s="34" t="s">
        <v>22</v>
      </c>
      <c r="E594" s="34" t="s">
        <v>29</v>
      </c>
      <c r="F594" s="35">
        <v>43567</v>
      </c>
      <c r="G594" s="43">
        <v>1363.8</v>
      </c>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10"/>
      <c r="AG594" s="5"/>
    </row>
    <row r="595" spans="2:33" x14ac:dyDescent="0.25">
      <c r="B595" s="36" t="s">
        <v>14</v>
      </c>
      <c r="C595" s="37" t="s">
        <v>27</v>
      </c>
      <c r="D595" s="37" t="s">
        <v>7</v>
      </c>
      <c r="E595" s="37" t="s">
        <v>32</v>
      </c>
      <c r="F595" s="38">
        <v>43570</v>
      </c>
      <c r="G595" s="44">
        <v>4091.3999999999996</v>
      </c>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10"/>
      <c r="AG595" s="5"/>
    </row>
    <row r="596" spans="2:33" x14ac:dyDescent="0.25">
      <c r="B596" s="33" t="s">
        <v>12</v>
      </c>
      <c r="C596" s="34" t="s">
        <v>26</v>
      </c>
      <c r="D596" s="34" t="s">
        <v>22</v>
      </c>
      <c r="E596" s="34" t="s">
        <v>31</v>
      </c>
      <c r="F596" s="35">
        <v>43571</v>
      </c>
      <c r="G596" s="43">
        <v>7199.55</v>
      </c>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10"/>
      <c r="AG596" s="5"/>
    </row>
    <row r="597" spans="2:33" x14ac:dyDescent="0.25">
      <c r="B597" s="36" t="s">
        <v>10</v>
      </c>
      <c r="C597" s="37" t="s">
        <v>34</v>
      </c>
      <c r="D597" s="37" t="s">
        <v>8</v>
      </c>
      <c r="E597" s="37" t="s">
        <v>29</v>
      </c>
      <c r="F597" s="38">
        <v>43573</v>
      </c>
      <c r="G597" s="44">
        <v>4091.3999999999996</v>
      </c>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10"/>
      <c r="AG597" s="5"/>
    </row>
    <row r="598" spans="2:33" x14ac:dyDescent="0.25">
      <c r="B598" s="33" t="s">
        <v>18</v>
      </c>
      <c r="C598" s="34" t="s">
        <v>26</v>
      </c>
      <c r="D598" s="34" t="s">
        <v>22</v>
      </c>
      <c r="E598" s="34" t="s">
        <v>29</v>
      </c>
      <c r="F598" s="35">
        <v>43573</v>
      </c>
      <c r="G598" s="43">
        <v>10399.35</v>
      </c>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10"/>
      <c r="AG598" s="5"/>
    </row>
    <row r="599" spans="2:33" x14ac:dyDescent="0.25">
      <c r="B599" s="36" t="s">
        <v>19</v>
      </c>
      <c r="C599" s="37" t="s">
        <v>24</v>
      </c>
      <c r="D599" s="37" t="s">
        <v>22</v>
      </c>
      <c r="E599" s="37" t="s">
        <v>29</v>
      </c>
      <c r="F599" s="38">
        <v>43573</v>
      </c>
      <c r="G599" s="44">
        <v>559.92999999999995</v>
      </c>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10"/>
      <c r="AG599" s="5"/>
    </row>
    <row r="600" spans="2:33" x14ac:dyDescent="0.25">
      <c r="B600" s="33" t="s">
        <v>15</v>
      </c>
      <c r="C600" s="34" t="s">
        <v>25</v>
      </c>
      <c r="D600" s="34" t="s">
        <v>22</v>
      </c>
      <c r="E600" s="34" t="s">
        <v>30</v>
      </c>
      <c r="F600" s="35">
        <v>43577</v>
      </c>
      <c r="G600" s="43">
        <v>168.95</v>
      </c>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10"/>
      <c r="AG600" s="5"/>
    </row>
    <row r="601" spans="2:33" x14ac:dyDescent="0.25">
      <c r="B601" s="36" t="s">
        <v>13</v>
      </c>
      <c r="C601" s="37" t="s">
        <v>24</v>
      </c>
      <c r="D601" s="37" t="s">
        <v>7</v>
      </c>
      <c r="E601" s="37" t="s">
        <v>28</v>
      </c>
      <c r="F601" s="38">
        <v>43577</v>
      </c>
      <c r="G601" s="44">
        <v>559.92999999999995</v>
      </c>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10"/>
      <c r="AG601" s="5"/>
    </row>
    <row r="602" spans="2:33" x14ac:dyDescent="0.25">
      <c r="B602" s="33" t="s">
        <v>12</v>
      </c>
      <c r="C602" s="34" t="s">
        <v>25</v>
      </c>
      <c r="D602" s="34" t="s">
        <v>22</v>
      </c>
      <c r="E602" s="34" t="s">
        <v>32</v>
      </c>
      <c r="F602" s="35">
        <v>43578</v>
      </c>
      <c r="G602" s="43">
        <v>2027.3999999999999</v>
      </c>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10"/>
      <c r="AG602" s="5"/>
    </row>
    <row r="603" spans="2:33" x14ac:dyDescent="0.25">
      <c r="B603" s="36" t="s">
        <v>13</v>
      </c>
      <c r="C603" s="37" t="s">
        <v>26</v>
      </c>
      <c r="D603" s="37" t="s">
        <v>7</v>
      </c>
      <c r="E603" s="37" t="s">
        <v>31</v>
      </c>
      <c r="F603" s="38">
        <v>43578</v>
      </c>
      <c r="G603" s="44">
        <v>3999.75</v>
      </c>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10"/>
      <c r="AG603" s="5"/>
    </row>
    <row r="604" spans="2:33" x14ac:dyDescent="0.25">
      <c r="B604" s="33" t="s">
        <v>21</v>
      </c>
      <c r="C604" s="34" t="s">
        <v>27</v>
      </c>
      <c r="D604" s="34" t="s">
        <v>8</v>
      </c>
      <c r="E604" s="34" t="s">
        <v>32</v>
      </c>
      <c r="F604" s="35">
        <v>43579</v>
      </c>
      <c r="G604" s="43">
        <v>681.9</v>
      </c>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10"/>
      <c r="AG604" s="5"/>
    </row>
    <row r="605" spans="2:33" x14ac:dyDescent="0.25">
      <c r="B605" s="36" t="s">
        <v>21</v>
      </c>
      <c r="C605" s="37" t="s">
        <v>26</v>
      </c>
      <c r="D605" s="37" t="s">
        <v>8</v>
      </c>
      <c r="E605" s="37" t="s">
        <v>29</v>
      </c>
      <c r="F605" s="38">
        <v>43580</v>
      </c>
      <c r="G605" s="44">
        <v>11199.300000000001</v>
      </c>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10"/>
      <c r="AG605" s="5"/>
    </row>
    <row r="606" spans="2:33" x14ac:dyDescent="0.25">
      <c r="B606" s="33" t="s">
        <v>17</v>
      </c>
      <c r="C606" s="34" t="s">
        <v>24</v>
      </c>
      <c r="D606" s="34" t="s">
        <v>9</v>
      </c>
      <c r="E606" s="34" t="s">
        <v>29</v>
      </c>
      <c r="F606" s="35">
        <v>43581</v>
      </c>
      <c r="G606" s="43">
        <v>719.91</v>
      </c>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10"/>
      <c r="AG606" s="5"/>
    </row>
    <row r="607" spans="2:33" x14ac:dyDescent="0.25">
      <c r="B607" s="36" t="s">
        <v>14</v>
      </c>
      <c r="C607" s="37" t="s">
        <v>26</v>
      </c>
      <c r="D607" s="37" t="s">
        <v>7</v>
      </c>
      <c r="E607" s="37" t="s">
        <v>32</v>
      </c>
      <c r="F607" s="38">
        <v>43583</v>
      </c>
      <c r="G607" s="44">
        <v>7999.5</v>
      </c>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10"/>
      <c r="AG607" s="5"/>
    </row>
    <row r="608" spans="2:33" x14ac:dyDescent="0.25">
      <c r="B608" s="33" t="s">
        <v>17</v>
      </c>
      <c r="C608" s="34" t="s">
        <v>26</v>
      </c>
      <c r="D608" s="34" t="s">
        <v>9</v>
      </c>
      <c r="E608" s="34" t="s">
        <v>30</v>
      </c>
      <c r="F608" s="35">
        <v>43584</v>
      </c>
      <c r="G608" s="43">
        <v>6399.6</v>
      </c>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10"/>
      <c r="AG608" s="5"/>
    </row>
    <row r="609" spans="2:33" x14ac:dyDescent="0.25">
      <c r="B609" s="36" t="s">
        <v>10</v>
      </c>
      <c r="C609" s="37" t="s">
        <v>26</v>
      </c>
      <c r="D609" s="37" t="s">
        <v>8</v>
      </c>
      <c r="E609" s="37" t="s">
        <v>28</v>
      </c>
      <c r="F609" s="38">
        <v>43585</v>
      </c>
      <c r="G609" s="44">
        <v>8799.4500000000007</v>
      </c>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10"/>
      <c r="AG609" s="5"/>
    </row>
    <row r="610" spans="2:33" x14ac:dyDescent="0.25">
      <c r="B610" s="33" t="s">
        <v>18</v>
      </c>
      <c r="C610" s="34" t="s">
        <v>24</v>
      </c>
      <c r="D610" s="34" t="s">
        <v>22</v>
      </c>
      <c r="E610" s="34" t="s">
        <v>29</v>
      </c>
      <c r="F610" s="35">
        <v>43585</v>
      </c>
      <c r="G610" s="43">
        <v>479.93999999999994</v>
      </c>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10"/>
      <c r="AG610" s="5"/>
    </row>
    <row r="611" spans="2:33" x14ac:dyDescent="0.25">
      <c r="B611" s="36" t="s">
        <v>17</v>
      </c>
      <c r="C611" s="37" t="s">
        <v>26</v>
      </c>
      <c r="D611" s="37" t="s">
        <v>9</v>
      </c>
      <c r="E611" s="37" t="s">
        <v>31</v>
      </c>
      <c r="F611" s="38">
        <v>43586</v>
      </c>
      <c r="G611" s="44">
        <v>7199.55</v>
      </c>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10"/>
      <c r="AG611" s="5"/>
    </row>
    <row r="612" spans="2:33" x14ac:dyDescent="0.25">
      <c r="B612" s="33" t="s">
        <v>20</v>
      </c>
      <c r="C612" s="34" t="s">
        <v>27</v>
      </c>
      <c r="D612" s="34" t="s">
        <v>7</v>
      </c>
      <c r="E612" s="34" t="s">
        <v>29</v>
      </c>
      <c r="F612" s="35">
        <v>43587</v>
      </c>
      <c r="G612" s="43">
        <v>1363.8</v>
      </c>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10"/>
      <c r="AG612" s="5"/>
    </row>
    <row r="613" spans="2:33" x14ac:dyDescent="0.25">
      <c r="B613" s="36" t="s">
        <v>21</v>
      </c>
      <c r="C613" s="37" t="s">
        <v>26</v>
      </c>
      <c r="D613" s="37" t="s">
        <v>8</v>
      </c>
      <c r="E613" s="37" t="s">
        <v>28</v>
      </c>
      <c r="F613" s="38">
        <v>43588</v>
      </c>
      <c r="G613" s="44">
        <v>15999</v>
      </c>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10"/>
      <c r="AG613" s="5"/>
    </row>
    <row r="614" spans="2:33" x14ac:dyDescent="0.25">
      <c r="B614" s="33" t="s">
        <v>15</v>
      </c>
      <c r="C614" s="34" t="s">
        <v>25</v>
      </c>
      <c r="D614" s="34" t="s">
        <v>22</v>
      </c>
      <c r="E614" s="34" t="s">
        <v>31</v>
      </c>
      <c r="F614" s="35">
        <v>43588</v>
      </c>
      <c r="G614" s="43">
        <v>168.95</v>
      </c>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10"/>
      <c r="AG614" s="5"/>
    </row>
    <row r="615" spans="2:33" x14ac:dyDescent="0.25">
      <c r="B615" s="36" t="s">
        <v>21</v>
      </c>
      <c r="C615" s="37" t="s">
        <v>34</v>
      </c>
      <c r="D615" s="37" t="s">
        <v>8</v>
      </c>
      <c r="E615" s="37" t="s">
        <v>30</v>
      </c>
      <c r="F615" s="38">
        <v>43590</v>
      </c>
      <c r="G615" s="44">
        <v>3409.5</v>
      </c>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10"/>
      <c r="AG615" s="5"/>
    </row>
    <row r="616" spans="2:33" x14ac:dyDescent="0.25">
      <c r="B616" s="33" t="s">
        <v>20</v>
      </c>
      <c r="C616" s="34" t="s">
        <v>34</v>
      </c>
      <c r="D616" s="34" t="s">
        <v>8</v>
      </c>
      <c r="E616" s="34" t="s">
        <v>29</v>
      </c>
      <c r="F616" s="35">
        <v>43590</v>
      </c>
      <c r="G616" s="43">
        <v>340.95</v>
      </c>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10"/>
      <c r="AG616" s="5"/>
    </row>
    <row r="617" spans="2:33" x14ac:dyDescent="0.25">
      <c r="B617" s="36" t="s">
        <v>19</v>
      </c>
      <c r="C617" s="37" t="s">
        <v>25</v>
      </c>
      <c r="D617" s="37" t="s">
        <v>22</v>
      </c>
      <c r="E617" s="37" t="s">
        <v>30</v>
      </c>
      <c r="F617" s="38">
        <v>43591</v>
      </c>
      <c r="G617" s="44">
        <v>1182.6499999999999</v>
      </c>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10"/>
      <c r="AG617" s="5"/>
    </row>
    <row r="618" spans="2:33" x14ac:dyDescent="0.25">
      <c r="B618" s="33" t="s">
        <v>18</v>
      </c>
      <c r="C618" s="34" t="s">
        <v>24</v>
      </c>
      <c r="D618" s="34" t="s">
        <v>22</v>
      </c>
      <c r="E618" s="34" t="s">
        <v>32</v>
      </c>
      <c r="F618" s="35">
        <v>43591</v>
      </c>
      <c r="G618" s="43">
        <v>879.89</v>
      </c>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10"/>
      <c r="AG618" s="5"/>
    </row>
    <row r="619" spans="2:33" x14ac:dyDescent="0.25">
      <c r="B619" s="36" t="s">
        <v>20</v>
      </c>
      <c r="C619" s="37" t="s">
        <v>34</v>
      </c>
      <c r="D619" s="37" t="s">
        <v>8</v>
      </c>
      <c r="E619" s="37" t="s">
        <v>31</v>
      </c>
      <c r="F619" s="38">
        <v>43591</v>
      </c>
      <c r="G619" s="44">
        <v>3068.5499999999997</v>
      </c>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10"/>
      <c r="AG619" s="5"/>
    </row>
    <row r="620" spans="2:33" x14ac:dyDescent="0.25">
      <c r="B620" s="33" t="s">
        <v>17</v>
      </c>
      <c r="C620" s="34" t="s">
        <v>24</v>
      </c>
      <c r="D620" s="34" t="s">
        <v>9</v>
      </c>
      <c r="E620" s="34" t="s">
        <v>31</v>
      </c>
      <c r="F620" s="35">
        <v>43591</v>
      </c>
      <c r="G620" s="43">
        <v>559.92999999999995</v>
      </c>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10"/>
      <c r="AG620" s="5"/>
    </row>
    <row r="621" spans="2:33" x14ac:dyDescent="0.25">
      <c r="B621" s="36" t="s">
        <v>18</v>
      </c>
      <c r="C621" s="37" t="s">
        <v>25</v>
      </c>
      <c r="D621" s="37" t="s">
        <v>22</v>
      </c>
      <c r="E621" s="37" t="s">
        <v>32</v>
      </c>
      <c r="F621" s="38">
        <v>43592</v>
      </c>
      <c r="G621" s="44">
        <v>506.84999999999997</v>
      </c>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10"/>
      <c r="AG621" s="5"/>
    </row>
    <row r="622" spans="2:33" x14ac:dyDescent="0.25">
      <c r="B622" s="33" t="s">
        <v>14</v>
      </c>
      <c r="C622" s="34" t="s">
        <v>34</v>
      </c>
      <c r="D622" s="34" t="s">
        <v>7</v>
      </c>
      <c r="E622" s="34" t="s">
        <v>30</v>
      </c>
      <c r="F622" s="35">
        <v>43595</v>
      </c>
      <c r="G622" s="43">
        <v>3409.5</v>
      </c>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10"/>
      <c r="AG622" s="5"/>
    </row>
    <row r="623" spans="2:33" x14ac:dyDescent="0.25">
      <c r="B623" s="36" t="s">
        <v>21</v>
      </c>
      <c r="C623" s="37" t="s">
        <v>24</v>
      </c>
      <c r="D623" s="37" t="s">
        <v>8</v>
      </c>
      <c r="E623" s="37" t="s">
        <v>28</v>
      </c>
      <c r="F623" s="38">
        <v>43595</v>
      </c>
      <c r="G623" s="44">
        <v>639.91999999999996</v>
      </c>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10"/>
      <c r="AG623" s="5"/>
    </row>
    <row r="624" spans="2:33" x14ac:dyDescent="0.25">
      <c r="B624" s="33" t="s">
        <v>11</v>
      </c>
      <c r="C624" s="34" t="s">
        <v>34</v>
      </c>
      <c r="D624" s="34" t="s">
        <v>9</v>
      </c>
      <c r="E624" s="34" t="s">
        <v>32</v>
      </c>
      <c r="F624" s="35">
        <v>43595</v>
      </c>
      <c r="G624" s="43">
        <v>681.9</v>
      </c>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10"/>
      <c r="AG624" s="5"/>
    </row>
    <row r="625" spans="2:33" x14ac:dyDescent="0.25">
      <c r="B625" s="36" t="s">
        <v>18</v>
      </c>
      <c r="C625" s="37" t="s">
        <v>27</v>
      </c>
      <c r="D625" s="37" t="s">
        <v>22</v>
      </c>
      <c r="E625" s="37" t="s">
        <v>32</v>
      </c>
      <c r="F625" s="38">
        <v>43595</v>
      </c>
      <c r="G625" s="44">
        <v>2727.6</v>
      </c>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10"/>
      <c r="AG625" s="5"/>
    </row>
    <row r="626" spans="2:33" x14ac:dyDescent="0.25">
      <c r="B626" s="33" t="s">
        <v>21</v>
      </c>
      <c r="C626" s="34" t="s">
        <v>25</v>
      </c>
      <c r="D626" s="34" t="s">
        <v>8</v>
      </c>
      <c r="E626" s="34" t="s">
        <v>32</v>
      </c>
      <c r="F626" s="35">
        <v>43597</v>
      </c>
      <c r="G626" s="43">
        <v>2365.2999999999997</v>
      </c>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10"/>
      <c r="AG626" s="5"/>
    </row>
    <row r="627" spans="2:33" x14ac:dyDescent="0.25">
      <c r="B627" s="36" t="s">
        <v>14</v>
      </c>
      <c r="C627" s="37" t="s">
        <v>24</v>
      </c>
      <c r="D627" s="37" t="s">
        <v>7</v>
      </c>
      <c r="E627" s="37" t="s">
        <v>32</v>
      </c>
      <c r="F627" s="38">
        <v>43597</v>
      </c>
      <c r="G627" s="44">
        <v>799.9</v>
      </c>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10"/>
      <c r="AG627" s="5"/>
    </row>
    <row r="628" spans="2:33" x14ac:dyDescent="0.25">
      <c r="B628" s="33" t="s">
        <v>14</v>
      </c>
      <c r="C628" s="34" t="s">
        <v>27</v>
      </c>
      <c r="D628" s="34" t="s">
        <v>7</v>
      </c>
      <c r="E628" s="34" t="s">
        <v>29</v>
      </c>
      <c r="F628" s="35">
        <v>43597</v>
      </c>
      <c r="G628" s="43">
        <v>1704.75</v>
      </c>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10"/>
      <c r="AG628" s="5"/>
    </row>
    <row r="629" spans="2:33" x14ac:dyDescent="0.25">
      <c r="B629" s="36" t="s">
        <v>13</v>
      </c>
      <c r="C629" s="37" t="s">
        <v>24</v>
      </c>
      <c r="D629" s="37" t="s">
        <v>7</v>
      </c>
      <c r="E629" s="37" t="s">
        <v>32</v>
      </c>
      <c r="F629" s="38">
        <v>43598</v>
      </c>
      <c r="G629" s="44">
        <v>1199.8499999999999</v>
      </c>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10"/>
      <c r="AG629" s="5"/>
    </row>
    <row r="630" spans="2:33" x14ac:dyDescent="0.25">
      <c r="B630" s="33" t="s">
        <v>12</v>
      </c>
      <c r="C630" s="34" t="s">
        <v>34</v>
      </c>
      <c r="D630" s="34" t="s">
        <v>22</v>
      </c>
      <c r="E630" s="34" t="s">
        <v>32</v>
      </c>
      <c r="F630" s="35">
        <v>43598</v>
      </c>
      <c r="G630" s="43">
        <v>4091.3999999999996</v>
      </c>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10"/>
      <c r="AG630" s="5"/>
    </row>
    <row r="631" spans="2:33" x14ac:dyDescent="0.25">
      <c r="B631" s="36" t="s">
        <v>12</v>
      </c>
      <c r="C631" s="37" t="s">
        <v>25</v>
      </c>
      <c r="D631" s="37" t="s">
        <v>22</v>
      </c>
      <c r="E631" s="37" t="s">
        <v>31</v>
      </c>
      <c r="F631" s="38">
        <v>43600</v>
      </c>
      <c r="G631" s="44">
        <v>337.9</v>
      </c>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10"/>
      <c r="AG631" s="5"/>
    </row>
    <row r="632" spans="2:33" x14ac:dyDescent="0.25">
      <c r="B632" s="33" t="s">
        <v>10</v>
      </c>
      <c r="C632" s="34" t="s">
        <v>34</v>
      </c>
      <c r="D632" s="34" t="s">
        <v>8</v>
      </c>
      <c r="E632" s="34" t="s">
        <v>28</v>
      </c>
      <c r="F632" s="35">
        <v>43602</v>
      </c>
      <c r="G632" s="43">
        <v>3750.45</v>
      </c>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10"/>
      <c r="AG632" s="5"/>
    </row>
    <row r="633" spans="2:33" x14ac:dyDescent="0.25">
      <c r="B633" s="36" t="s">
        <v>15</v>
      </c>
      <c r="C633" s="37" t="s">
        <v>26</v>
      </c>
      <c r="D633" s="37" t="s">
        <v>22</v>
      </c>
      <c r="E633" s="37" t="s">
        <v>28</v>
      </c>
      <c r="F633" s="38">
        <v>43602</v>
      </c>
      <c r="G633" s="44">
        <v>11199.300000000001</v>
      </c>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10"/>
      <c r="AG633" s="5"/>
    </row>
    <row r="634" spans="2:33" x14ac:dyDescent="0.25">
      <c r="B634" s="33" t="s">
        <v>14</v>
      </c>
      <c r="C634" s="34" t="s">
        <v>24</v>
      </c>
      <c r="D634" s="34" t="s">
        <v>7</v>
      </c>
      <c r="E634" s="34" t="s">
        <v>28</v>
      </c>
      <c r="F634" s="35">
        <v>43604</v>
      </c>
      <c r="G634" s="43">
        <v>1359.83</v>
      </c>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10"/>
      <c r="AG634" s="5"/>
    </row>
    <row r="635" spans="2:33" x14ac:dyDescent="0.25">
      <c r="B635" s="36" t="s">
        <v>10</v>
      </c>
      <c r="C635" s="37" t="s">
        <v>34</v>
      </c>
      <c r="D635" s="37" t="s">
        <v>8</v>
      </c>
      <c r="E635" s="37" t="s">
        <v>32</v>
      </c>
      <c r="F635" s="38">
        <v>43604</v>
      </c>
      <c r="G635" s="44">
        <v>2727.6</v>
      </c>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10"/>
      <c r="AG635" s="5"/>
    </row>
    <row r="636" spans="2:33" x14ac:dyDescent="0.25">
      <c r="B636" s="33" t="s">
        <v>15</v>
      </c>
      <c r="C636" s="34" t="s">
        <v>26</v>
      </c>
      <c r="D636" s="34" t="s">
        <v>22</v>
      </c>
      <c r="E636" s="34" t="s">
        <v>32</v>
      </c>
      <c r="F636" s="35">
        <v>43605</v>
      </c>
      <c r="G636" s="43">
        <v>10399.35</v>
      </c>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10"/>
      <c r="AG636" s="5"/>
    </row>
    <row r="637" spans="2:33" x14ac:dyDescent="0.25">
      <c r="B637" s="36" t="s">
        <v>20</v>
      </c>
      <c r="C637" s="37" t="s">
        <v>34</v>
      </c>
      <c r="D637" s="37" t="s">
        <v>8</v>
      </c>
      <c r="E637" s="37" t="s">
        <v>29</v>
      </c>
      <c r="F637" s="38">
        <v>43605</v>
      </c>
      <c r="G637" s="44">
        <v>2727.6</v>
      </c>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10"/>
      <c r="AG637" s="5"/>
    </row>
    <row r="638" spans="2:33" x14ac:dyDescent="0.25">
      <c r="B638" s="33" t="s">
        <v>14</v>
      </c>
      <c r="C638" s="34" t="s">
        <v>25</v>
      </c>
      <c r="D638" s="34" t="s">
        <v>7</v>
      </c>
      <c r="E638" s="34" t="s">
        <v>31</v>
      </c>
      <c r="F638" s="35">
        <v>43605</v>
      </c>
      <c r="G638" s="43">
        <v>2196.35</v>
      </c>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10"/>
      <c r="AG638" s="5"/>
    </row>
    <row r="639" spans="2:33" x14ac:dyDescent="0.25">
      <c r="B639" s="36" t="s">
        <v>15</v>
      </c>
      <c r="C639" s="37" t="s">
        <v>25</v>
      </c>
      <c r="D639" s="37" t="s">
        <v>22</v>
      </c>
      <c r="E639" s="37" t="s">
        <v>32</v>
      </c>
      <c r="F639" s="38">
        <v>43606</v>
      </c>
      <c r="G639" s="44">
        <v>1013.6999999999999</v>
      </c>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10"/>
      <c r="AG639" s="5"/>
    </row>
    <row r="640" spans="2:33" x14ac:dyDescent="0.25">
      <c r="B640" s="33" t="s">
        <v>10</v>
      </c>
      <c r="C640" s="34" t="s">
        <v>27</v>
      </c>
      <c r="D640" s="34" t="s">
        <v>8</v>
      </c>
      <c r="E640" s="34" t="s">
        <v>28</v>
      </c>
      <c r="F640" s="35">
        <v>43608</v>
      </c>
      <c r="G640" s="43">
        <v>2386.65</v>
      </c>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10"/>
      <c r="AG640" s="5"/>
    </row>
    <row r="641" spans="2:33" x14ac:dyDescent="0.25">
      <c r="B641" s="36" t="s">
        <v>20</v>
      </c>
      <c r="C641" s="37" t="s">
        <v>24</v>
      </c>
      <c r="D641" s="37" t="s">
        <v>7</v>
      </c>
      <c r="E641" s="37" t="s">
        <v>32</v>
      </c>
      <c r="F641" s="38">
        <v>43608</v>
      </c>
      <c r="G641" s="44">
        <v>159.97999999999999</v>
      </c>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10"/>
      <c r="AG641" s="5"/>
    </row>
    <row r="642" spans="2:33" x14ac:dyDescent="0.25">
      <c r="B642" s="33" t="s">
        <v>12</v>
      </c>
      <c r="C642" s="34" t="s">
        <v>26</v>
      </c>
      <c r="D642" s="34" t="s">
        <v>22</v>
      </c>
      <c r="E642" s="34" t="s">
        <v>28</v>
      </c>
      <c r="F642" s="35">
        <v>43609</v>
      </c>
      <c r="G642" s="43">
        <v>5599.6500000000005</v>
      </c>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10"/>
      <c r="AG642" s="5"/>
    </row>
    <row r="643" spans="2:33" x14ac:dyDescent="0.25">
      <c r="B643" s="36" t="s">
        <v>20</v>
      </c>
      <c r="C643" s="37" t="s">
        <v>25</v>
      </c>
      <c r="D643" s="37" t="s">
        <v>7</v>
      </c>
      <c r="E643" s="37" t="s">
        <v>30</v>
      </c>
      <c r="F643" s="38">
        <v>43611</v>
      </c>
      <c r="G643" s="44">
        <v>2365.2999999999997</v>
      </c>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10"/>
      <c r="AG643" s="5"/>
    </row>
    <row r="644" spans="2:33" x14ac:dyDescent="0.25">
      <c r="B644" s="33" t="s">
        <v>13</v>
      </c>
      <c r="C644" s="34" t="s">
        <v>25</v>
      </c>
      <c r="D644" s="34" t="s">
        <v>7</v>
      </c>
      <c r="E644" s="34" t="s">
        <v>30</v>
      </c>
      <c r="F644" s="35">
        <v>43611</v>
      </c>
      <c r="G644" s="43">
        <v>2027.3999999999999</v>
      </c>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10"/>
      <c r="AG644" s="5"/>
    </row>
    <row r="645" spans="2:33" x14ac:dyDescent="0.25">
      <c r="B645" s="36" t="s">
        <v>20</v>
      </c>
      <c r="C645" s="37" t="s">
        <v>25</v>
      </c>
      <c r="D645" s="37" t="s">
        <v>7</v>
      </c>
      <c r="E645" s="37" t="s">
        <v>29</v>
      </c>
      <c r="F645" s="38">
        <v>43611</v>
      </c>
      <c r="G645" s="44">
        <v>2196.35</v>
      </c>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10"/>
      <c r="AG645" s="5"/>
    </row>
    <row r="646" spans="2:33" x14ac:dyDescent="0.25">
      <c r="B646" s="33" t="s">
        <v>14</v>
      </c>
      <c r="C646" s="34" t="s">
        <v>34</v>
      </c>
      <c r="D646" s="34" t="s">
        <v>7</v>
      </c>
      <c r="E646" s="34" t="s">
        <v>31</v>
      </c>
      <c r="F646" s="35">
        <v>43611</v>
      </c>
      <c r="G646" s="43">
        <v>3409.5</v>
      </c>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10"/>
      <c r="AG646" s="5"/>
    </row>
    <row r="647" spans="2:33" x14ac:dyDescent="0.25">
      <c r="B647" s="36" t="s">
        <v>17</v>
      </c>
      <c r="C647" s="37" t="s">
        <v>26</v>
      </c>
      <c r="D647" s="37" t="s">
        <v>9</v>
      </c>
      <c r="E647" s="37" t="s">
        <v>28</v>
      </c>
      <c r="F647" s="38">
        <v>43612</v>
      </c>
      <c r="G647" s="44">
        <v>15999</v>
      </c>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10"/>
      <c r="AG647" s="5"/>
    </row>
    <row r="648" spans="2:33" x14ac:dyDescent="0.25">
      <c r="B648" s="33" t="s">
        <v>15</v>
      </c>
      <c r="C648" s="34" t="s">
        <v>34</v>
      </c>
      <c r="D648" s="34" t="s">
        <v>22</v>
      </c>
      <c r="E648" s="34" t="s">
        <v>32</v>
      </c>
      <c r="F648" s="35">
        <v>43612</v>
      </c>
      <c r="G648" s="43">
        <v>1704.75</v>
      </c>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10"/>
      <c r="AG648" s="5"/>
    </row>
    <row r="649" spans="2:33" x14ac:dyDescent="0.25">
      <c r="B649" s="36" t="s">
        <v>20</v>
      </c>
      <c r="C649" s="37" t="s">
        <v>26</v>
      </c>
      <c r="D649" s="37" t="s">
        <v>7</v>
      </c>
      <c r="E649" s="37" t="s">
        <v>29</v>
      </c>
      <c r="F649" s="38">
        <v>43612</v>
      </c>
      <c r="G649" s="44">
        <v>3199.8</v>
      </c>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10"/>
      <c r="AG649" s="5"/>
    </row>
    <row r="650" spans="2:33" x14ac:dyDescent="0.25">
      <c r="B650" s="33" t="s">
        <v>15</v>
      </c>
      <c r="C650" s="34" t="s">
        <v>26</v>
      </c>
      <c r="D650" s="34" t="s">
        <v>22</v>
      </c>
      <c r="E650" s="34" t="s">
        <v>29</v>
      </c>
      <c r="F650" s="35">
        <v>43612</v>
      </c>
      <c r="G650" s="43">
        <v>1599.9</v>
      </c>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10"/>
      <c r="AG650" s="5"/>
    </row>
    <row r="651" spans="2:33" x14ac:dyDescent="0.25">
      <c r="B651" s="36" t="s">
        <v>12</v>
      </c>
      <c r="C651" s="37" t="s">
        <v>24</v>
      </c>
      <c r="D651" s="37" t="s">
        <v>22</v>
      </c>
      <c r="E651" s="37" t="s">
        <v>31</v>
      </c>
      <c r="F651" s="38">
        <v>43612</v>
      </c>
      <c r="G651" s="44">
        <v>159.97999999999999</v>
      </c>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10"/>
      <c r="AG651" s="5"/>
    </row>
    <row r="652" spans="2:33" x14ac:dyDescent="0.25">
      <c r="B652" s="33" t="s">
        <v>17</v>
      </c>
      <c r="C652" s="34" t="s">
        <v>25</v>
      </c>
      <c r="D652" s="34" t="s">
        <v>9</v>
      </c>
      <c r="E652" s="34" t="s">
        <v>28</v>
      </c>
      <c r="F652" s="35">
        <v>43614</v>
      </c>
      <c r="G652" s="43">
        <v>2872.1499999999996</v>
      </c>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10"/>
      <c r="AG652" s="5"/>
    </row>
    <row r="653" spans="2:33" x14ac:dyDescent="0.25">
      <c r="B653" s="36" t="s">
        <v>20</v>
      </c>
      <c r="C653" s="37" t="s">
        <v>25</v>
      </c>
      <c r="D653" s="37" t="s">
        <v>7</v>
      </c>
      <c r="E653" s="37" t="s">
        <v>32</v>
      </c>
      <c r="F653" s="38">
        <v>43614</v>
      </c>
      <c r="G653" s="44">
        <v>2196.35</v>
      </c>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10"/>
      <c r="AG653" s="5"/>
    </row>
    <row r="654" spans="2:33" x14ac:dyDescent="0.25">
      <c r="B654" s="33" t="s">
        <v>12</v>
      </c>
      <c r="C654" s="34" t="s">
        <v>27</v>
      </c>
      <c r="D654" s="34" t="s">
        <v>22</v>
      </c>
      <c r="E654" s="34" t="s">
        <v>31</v>
      </c>
      <c r="F654" s="35">
        <v>43615</v>
      </c>
      <c r="G654" s="43">
        <v>3068.5499999999997</v>
      </c>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10"/>
      <c r="AG654" s="5"/>
    </row>
    <row r="655" spans="2:33" x14ac:dyDescent="0.25">
      <c r="B655" s="36" t="s">
        <v>20</v>
      </c>
      <c r="C655" s="37" t="s">
        <v>26</v>
      </c>
      <c r="D655" s="37" t="s">
        <v>7</v>
      </c>
      <c r="E655" s="37" t="s">
        <v>28</v>
      </c>
      <c r="F655" s="38">
        <v>43616</v>
      </c>
      <c r="G655" s="44">
        <v>6399.6</v>
      </c>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10"/>
      <c r="AG655" s="5"/>
    </row>
    <row r="656" spans="2:33" x14ac:dyDescent="0.25">
      <c r="B656" s="33" t="s">
        <v>12</v>
      </c>
      <c r="C656" s="34" t="s">
        <v>27</v>
      </c>
      <c r="D656" s="34" t="s">
        <v>22</v>
      </c>
      <c r="E656" s="34" t="s">
        <v>28</v>
      </c>
      <c r="F656" s="35">
        <v>43616</v>
      </c>
      <c r="G656" s="43">
        <v>6819</v>
      </c>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10"/>
      <c r="AG656" s="5"/>
    </row>
    <row r="657" spans="2:33" x14ac:dyDescent="0.25">
      <c r="B657" s="36" t="s">
        <v>10</v>
      </c>
      <c r="C657" s="37" t="s">
        <v>26</v>
      </c>
      <c r="D657" s="37" t="s">
        <v>8</v>
      </c>
      <c r="E657" s="37" t="s">
        <v>31</v>
      </c>
      <c r="F657" s="38">
        <v>43616</v>
      </c>
      <c r="G657" s="44">
        <v>9599.4000000000015</v>
      </c>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10"/>
      <c r="AG657" s="5"/>
    </row>
    <row r="658" spans="2:33" x14ac:dyDescent="0.25">
      <c r="B658" s="33" t="s">
        <v>10</v>
      </c>
      <c r="C658" s="34" t="s">
        <v>34</v>
      </c>
      <c r="D658" s="34" t="s">
        <v>8</v>
      </c>
      <c r="E658" s="34" t="s">
        <v>31</v>
      </c>
      <c r="F658" s="35">
        <v>43616</v>
      </c>
      <c r="G658" s="43">
        <v>3068.5499999999997</v>
      </c>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10"/>
      <c r="AG658" s="5"/>
    </row>
    <row r="659" spans="2:33" x14ac:dyDescent="0.25">
      <c r="B659" s="36" t="s">
        <v>18</v>
      </c>
      <c r="C659" s="37" t="s">
        <v>24</v>
      </c>
      <c r="D659" s="37" t="s">
        <v>22</v>
      </c>
      <c r="E659" s="37" t="s">
        <v>31</v>
      </c>
      <c r="F659" s="38">
        <v>43618</v>
      </c>
      <c r="G659" s="44">
        <v>239.96999999999997</v>
      </c>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10"/>
      <c r="AG659" s="5"/>
    </row>
    <row r="660" spans="2:33" x14ac:dyDescent="0.25">
      <c r="B660" s="33" t="s">
        <v>20</v>
      </c>
      <c r="C660" s="34" t="s">
        <v>25</v>
      </c>
      <c r="D660" s="34" t="s">
        <v>7</v>
      </c>
      <c r="E660" s="34" t="s">
        <v>28</v>
      </c>
      <c r="F660" s="35">
        <v>43619</v>
      </c>
      <c r="G660" s="43">
        <v>2365.2999999999997</v>
      </c>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10"/>
      <c r="AG660" s="5"/>
    </row>
    <row r="661" spans="2:33" x14ac:dyDescent="0.25">
      <c r="B661" s="36" t="s">
        <v>15</v>
      </c>
      <c r="C661" s="37" t="s">
        <v>26</v>
      </c>
      <c r="D661" s="37" t="s">
        <v>22</v>
      </c>
      <c r="E661" s="37" t="s">
        <v>32</v>
      </c>
      <c r="F661" s="38">
        <v>43619</v>
      </c>
      <c r="G661" s="44">
        <v>7999.5</v>
      </c>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10"/>
      <c r="AG661" s="5"/>
    </row>
    <row r="662" spans="2:33" x14ac:dyDescent="0.25">
      <c r="B662" s="33" t="s">
        <v>13</v>
      </c>
      <c r="C662" s="34" t="s">
        <v>25</v>
      </c>
      <c r="D662" s="34" t="s">
        <v>7</v>
      </c>
      <c r="E662" s="34" t="s">
        <v>32</v>
      </c>
      <c r="F662" s="35">
        <v>43619</v>
      </c>
      <c r="G662" s="43">
        <v>675.8</v>
      </c>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10"/>
      <c r="AG662" s="5"/>
    </row>
    <row r="663" spans="2:33" x14ac:dyDescent="0.25">
      <c r="B663" s="36" t="s">
        <v>20</v>
      </c>
      <c r="C663" s="37" t="s">
        <v>34</v>
      </c>
      <c r="D663" s="37" t="s">
        <v>8</v>
      </c>
      <c r="E663" s="37" t="s">
        <v>30</v>
      </c>
      <c r="F663" s="38">
        <v>43622</v>
      </c>
      <c r="G663" s="44">
        <v>681.9</v>
      </c>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10"/>
      <c r="AG663" s="5"/>
    </row>
    <row r="664" spans="2:33" x14ac:dyDescent="0.25">
      <c r="B664" s="33" t="s">
        <v>14</v>
      </c>
      <c r="C664" s="34" t="s">
        <v>25</v>
      </c>
      <c r="D664" s="34" t="s">
        <v>7</v>
      </c>
      <c r="E664" s="34" t="s">
        <v>28</v>
      </c>
      <c r="F664" s="35">
        <v>43622</v>
      </c>
      <c r="G664" s="43">
        <v>1013.6999999999999</v>
      </c>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10"/>
      <c r="AG664" s="5"/>
    </row>
    <row r="665" spans="2:33" x14ac:dyDescent="0.25">
      <c r="B665" s="36" t="s">
        <v>14</v>
      </c>
      <c r="C665" s="37" t="s">
        <v>27</v>
      </c>
      <c r="D665" s="37" t="s">
        <v>7</v>
      </c>
      <c r="E665" s="37" t="s">
        <v>30</v>
      </c>
      <c r="F665" s="38">
        <v>43625</v>
      </c>
      <c r="G665" s="44">
        <v>2386.65</v>
      </c>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10"/>
      <c r="AG665" s="5"/>
    </row>
    <row r="666" spans="2:33" x14ac:dyDescent="0.25">
      <c r="B666" s="33" t="s">
        <v>13</v>
      </c>
      <c r="C666" s="34" t="s">
        <v>26</v>
      </c>
      <c r="D666" s="34" t="s">
        <v>7</v>
      </c>
      <c r="E666" s="34" t="s">
        <v>29</v>
      </c>
      <c r="F666" s="35">
        <v>43626</v>
      </c>
      <c r="G666" s="43">
        <v>2399.8500000000004</v>
      </c>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10"/>
      <c r="AG666" s="5"/>
    </row>
    <row r="667" spans="2:33" x14ac:dyDescent="0.25">
      <c r="B667" s="36" t="s">
        <v>17</v>
      </c>
      <c r="C667" s="37" t="s">
        <v>34</v>
      </c>
      <c r="D667" s="37" t="s">
        <v>9</v>
      </c>
      <c r="E667" s="37" t="s">
        <v>28</v>
      </c>
      <c r="F667" s="38">
        <v>43628</v>
      </c>
      <c r="G667" s="44">
        <v>2727.6</v>
      </c>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10"/>
      <c r="AG667" s="5"/>
    </row>
    <row r="668" spans="2:33" x14ac:dyDescent="0.25">
      <c r="B668" s="33" t="s">
        <v>18</v>
      </c>
      <c r="C668" s="34" t="s">
        <v>27</v>
      </c>
      <c r="D668" s="34" t="s">
        <v>22</v>
      </c>
      <c r="E668" s="34" t="s">
        <v>31</v>
      </c>
      <c r="F668" s="35">
        <v>43628</v>
      </c>
      <c r="G668" s="43">
        <v>3068.5499999999997</v>
      </c>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10"/>
      <c r="AG668" s="5"/>
    </row>
    <row r="669" spans="2:33" x14ac:dyDescent="0.25">
      <c r="B669" s="36" t="s">
        <v>18</v>
      </c>
      <c r="C669" s="37" t="s">
        <v>26</v>
      </c>
      <c r="D669" s="37" t="s">
        <v>22</v>
      </c>
      <c r="E669" s="37" t="s">
        <v>28</v>
      </c>
      <c r="F669" s="38">
        <v>43629</v>
      </c>
      <c r="G669" s="44">
        <v>8799.4500000000007</v>
      </c>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10"/>
      <c r="AG669" s="5"/>
    </row>
    <row r="670" spans="2:33" x14ac:dyDescent="0.25">
      <c r="B670" s="33" t="s">
        <v>21</v>
      </c>
      <c r="C670" s="34" t="s">
        <v>27</v>
      </c>
      <c r="D670" s="34" t="s">
        <v>8</v>
      </c>
      <c r="E670" s="34" t="s">
        <v>29</v>
      </c>
      <c r="F670" s="35">
        <v>43629</v>
      </c>
      <c r="G670" s="43">
        <v>3750.45</v>
      </c>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10"/>
      <c r="AG670" s="5"/>
    </row>
    <row r="671" spans="2:33" x14ac:dyDescent="0.25">
      <c r="B671" s="36" t="s">
        <v>18</v>
      </c>
      <c r="C671" s="37" t="s">
        <v>26</v>
      </c>
      <c r="D671" s="37" t="s">
        <v>22</v>
      </c>
      <c r="E671" s="37" t="s">
        <v>30</v>
      </c>
      <c r="F671" s="38">
        <v>43633</v>
      </c>
      <c r="G671" s="44">
        <v>799.95</v>
      </c>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10"/>
      <c r="AG671" s="5"/>
    </row>
    <row r="672" spans="2:33" x14ac:dyDescent="0.25">
      <c r="B672" s="33" t="s">
        <v>11</v>
      </c>
      <c r="C672" s="34" t="s">
        <v>24</v>
      </c>
      <c r="D672" s="34" t="s">
        <v>9</v>
      </c>
      <c r="E672" s="34" t="s">
        <v>31</v>
      </c>
      <c r="F672" s="35">
        <v>43633</v>
      </c>
      <c r="G672" s="43">
        <v>879.89</v>
      </c>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10"/>
      <c r="AG672" s="5"/>
    </row>
    <row r="673" spans="2:33" x14ac:dyDescent="0.25">
      <c r="B673" s="36" t="s">
        <v>10</v>
      </c>
      <c r="C673" s="37" t="s">
        <v>24</v>
      </c>
      <c r="D673" s="37" t="s">
        <v>8</v>
      </c>
      <c r="E673" s="37" t="s">
        <v>31</v>
      </c>
      <c r="F673" s="38">
        <v>43633</v>
      </c>
      <c r="G673" s="44">
        <v>879.89</v>
      </c>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10"/>
      <c r="AG673" s="5"/>
    </row>
    <row r="674" spans="2:33" x14ac:dyDescent="0.25">
      <c r="B674" s="33" t="s">
        <v>13</v>
      </c>
      <c r="C674" s="34" t="s">
        <v>27</v>
      </c>
      <c r="D674" s="34" t="s">
        <v>7</v>
      </c>
      <c r="E674" s="34" t="s">
        <v>30</v>
      </c>
      <c r="F674" s="35">
        <v>43635</v>
      </c>
      <c r="G674" s="43">
        <v>1022.8499999999999</v>
      </c>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10"/>
      <c r="AG674" s="5"/>
    </row>
    <row r="675" spans="2:33" x14ac:dyDescent="0.25">
      <c r="B675" s="36" t="s">
        <v>14</v>
      </c>
      <c r="C675" s="37" t="s">
        <v>26</v>
      </c>
      <c r="D675" s="37" t="s">
        <v>7</v>
      </c>
      <c r="E675" s="37" t="s">
        <v>30</v>
      </c>
      <c r="F675" s="38">
        <v>43635</v>
      </c>
      <c r="G675" s="44">
        <v>799.95</v>
      </c>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10"/>
      <c r="AG675" s="5"/>
    </row>
    <row r="676" spans="2:33" x14ac:dyDescent="0.25">
      <c r="B676" s="33" t="s">
        <v>21</v>
      </c>
      <c r="C676" s="34" t="s">
        <v>34</v>
      </c>
      <c r="D676" s="34" t="s">
        <v>8</v>
      </c>
      <c r="E676" s="34" t="s">
        <v>32</v>
      </c>
      <c r="F676" s="35">
        <v>43635</v>
      </c>
      <c r="G676" s="43">
        <v>340.95</v>
      </c>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10"/>
      <c r="AG676" s="5"/>
    </row>
    <row r="677" spans="2:33" x14ac:dyDescent="0.25">
      <c r="B677" s="36" t="s">
        <v>20</v>
      </c>
      <c r="C677" s="37" t="s">
        <v>34</v>
      </c>
      <c r="D677" s="37" t="s">
        <v>8</v>
      </c>
      <c r="E677" s="37" t="s">
        <v>30</v>
      </c>
      <c r="F677" s="38">
        <v>43637</v>
      </c>
      <c r="G677" s="44">
        <v>2386.65</v>
      </c>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10"/>
      <c r="AG677" s="5"/>
    </row>
    <row r="678" spans="2:33" x14ac:dyDescent="0.25">
      <c r="B678" s="33" t="s">
        <v>13</v>
      </c>
      <c r="C678" s="34" t="s">
        <v>26</v>
      </c>
      <c r="D678" s="34" t="s">
        <v>7</v>
      </c>
      <c r="E678" s="34" t="s">
        <v>30</v>
      </c>
      <c r="F678" s="35">
        <v>43637</v>
      </c>
      <c r="G678" s="43">
        <v>9599.4000000000015</v>
      </c>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10"/>
      <c r="AG678" s="5"/>
    </row>
    <row r="679" spans="2:33" x14ac:dyDescent="0.25">
      <c r="B679" s="36" t="s">
        <v>20</v>
      </c>
      <c r="C679" s="37" t="s">
        <v>26</v>
      </c>
      <c r="D679" s="37" t="s">
        <v>7</v>
      </c>
      <c r="E679" s="37" t="s">
        <v>28</v>
      </c>
      <c r="F679" s="38">
        <v>43640</v>
      </c>
      <c r="G679" s="44">
        <v>15199.050000000001</v>
      </c>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10"/>
      <c r="AG679" s="5"/>
    </row>
    <row r="680" spans="2:33" x14ac:dyDescent="0.25">
      <c r="B680" s="33" t="s">
        <v>10</v>
      </c>
      <c r="C680" s="34" t="s">
        <v>26</v>
      </c>
      <c r="D680" s="34" t="s">
        <v>8</v>
      </c>
      <c r="E680" s="34" t="s">
        <v>28</v>
      </c>
      <c r="F680" s="35">
        <v>43641</v>
      </c>
      <c r="G680" s="43">
        <v>12799.2</v>
      </c>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10"/>
      <c r="AG680" s="5"/>
    </row>
    <row r="681" spans="2:33" x14ac:dyDescent="0.25">
      <c r="B681" s="36" t="s">
        <v>14</v>
      </c>
      <c r="C681" s="37" t="s">
        <v>26</v>
      </c>
      <c r="D681" s="37" t="s">
        <v>7</v>
      </c>
      <c r="E681" s="37" t="s">
        <v>28</v>
      </c>
      <c r="F681" s="38">
        <v>43641</v>
      </c>
      <c r="G681" s="44">
        <v>13599.150000000001</v>
      </c>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10"/>
      <c r="AG681" s="5"/>
    </row>
    <row r="682" spans="2:33" x14ac:dyDescent="0.25">
      <c r="B682" s="33" t="s">
        <v>12</v>
      </c>
      <c r="C682" s="34" t="s">
        <v>26</v>
      </c>
      <c r="D682" s="34" t="s">
        <v>22</v>
      </c>
      <c r="E682" s="34" t="s">
        <v>31</v>
      </c>
      <c r="F682" s="35">
        <v>43641</v>
      </c>
      <c r="G682" s="43">
        <v>6399.6</v>
      </c>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10"/>
      <c r="AG682" s="5"/>
    </row>
    <row r="683" spans="2:33" x14ac:dyDescent="0.25">
      <c r="B683" s="36" t="s">
        <v>14</v>
      </c>
      <c r="C683" s="37" t="s">
        <v>24</v>
      </c>
      <c r="D683" s="37" t="s">
        <v>7</v>
      </c>
      <c r="E683" s="37" t="s">
        <v>31</v>
      </c>
      <c r="F683" s="38">
        <v>43641</v>
      </c>
      <c r="G683" s="44">
        <v>239.96999999999997</v>
      </c>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10"/>
      <c r="AG683" s="5"/>
    </row>
    <row r="684" spans="2:33" x14ac:dyDescent="0.25">
      <c r="B684" s="33" t="s">
        <v>15</v>
      </c>
      <c r="C684" s="34" t="s">
        <v>24</v>
      </c>
      <c r="D684" s="34" t="s">
        <v>22</v>
      </c>
      <c r="E684" s="34" t="s">
        <v>32</v>
      </c>
      <c r="F684" s="35">
        <v>43642</v>
      </c>
      <c r="G684" s="43">
        <v>1199.8499999999999</v>
      </c>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10"/>
      <c r="AG684" s="5"/>
    </row>
    <row r="685" spans="2:33" x14ac:dyDescent="0.25">
      <c r="B685" s="36" t="s">
        <v>12</v>
      </c>
      <c r="C685" s="37" t="s">
        <v>25</v>
      </c>
      <c r="D685" s="37" t="s">
        <v>22</v>
      </c>
      <c r="E685" s="37" t="s">
        <v>30</v>
      </c>
      <c r="F685" s="38">
        <v>43643</v>
      </c>
      <c r="G685" s="44">
        <v>2196.35</v>
      </c>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10"/>
      <c r="AG685" s="5"/>
    </row>
    <row r="686" spans="2:33" x14ac:dyDescent="0.25">
      <c r="B686" s="33" t="s">
        <v>12</v>
      </c>
      <c r="C686" s="34" t="s">
        <v>25</v>
      </c>
      <c r="D686" s="34" t="s">
        <v>22</v>
      </c>
      <c r="E686" s="34" t="s">
        <v>32</v>
      </c>
      <c r="F686" s="35">
        <v>43643</v>
      </c>
      <c r="G686" s="43">
        <v>506.84999999999997</v>
      </c>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10"/>
      <c r="AG686" s="5"/>
    </row>
    <row r="687" spans="2:33" x14ac:dyDescent="0.25">
      <c r="B687" s="36" t="s">
        <v>13</v>
      </c>
      <c r="C687" s="37" t="s">
        <v>24</v>
      </c>
      <c r="D687" s="37" t="s">
        <v>7</v>
      </c>
      <c r="E687" s="37" t="s">
        <v>30</v>
      </c>
      <c r="F687" s="38">
        <v>43644</v>
      </c>
      <c r="G687" s="44">
        <v>479.93999999999994</v>
      </c>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10"/>
      <c r="AG687" s="5"/>
    </row>
    <row r="688" spans="2:33" x14ac:dyDescent="0.25">
      <c r="B688" s="33" t="s">
        <v>13</v>
      </c>
      <c r="C688" s="34" t="s">
        <v>34</v>
      </c>
      <c r="D688" s="34" t="s">
        <v>7</v>
      </c>
      <c r="E688" s="34" t="s">
        <v>29</v>
      </c>
      <c r="F688" s="35">
        <v>43644</v>
      </c>
      <c r="G688" s="43">
        <v>1704.75</v>
      </c>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10"/>
      <c r="AG688" s="5"/>
    </row>
    <row r="689" spans="2:33" x14ac:dyDescent="0.25">
      <c r="B689" s="36" t="s">
        <v>10</v>
      </c>
      <c r="C689" s="37" t="s">
        <v>27</v>
      </c>
      <c r="D689" s="37" t="s">
        <v>8</v>
      </c>
      <c r="E689" s="37" t="s">
        <v>29</v>
      </c>
      <c r="F689" s="38">
        <v>43646</v>
      </c>
      <c r="G689" s="44">
        <v>5114.25</v>
      </c>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10"/>
      <c r="AG689" s="5"/>
    </row>
    <row r="690" spans="2:33" x14ac:dyDescent="0.25">
      <c r="B690" s="33" t="s">
        <v>14</v>
      </c>
      <c r="C690" s="34" t="s">
        <v>34</v>
      </c>
      <c r="D690" s="34" t="s">
        <v>7</v>
      </c>
      <c r="E690" s="34" t="s">
        <v>29</v>
      </c>
      <c r="F690" s="35">
        <v>43646</v>
      </c>
      <c r="G690" s="43">
        <v>681.9</v>
      </c>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10"/>
      <c r="AG690" s="5"/>
    </row>
    <row r="691" spans="2:33" x14ac:dyDescent="0.25">
      <c r="B691" s="36" t="s">
        <v>18</v>
      </c>
      <c r="C691" s="37" t="s">
        <v>24</v>
      </c>
      <c r="D691" s="37" t="s">
        <v>22</v>
      </c>
      <c r="E691" s="37" t="s">
        <v>30</v>
      </c>
      <c r="F691" s="38">
        <v>43647</v>
      </c>
      <c r="G691" s="44">
        <v>319.95999999999998</v>
      </c>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10"/>
      <c r="AG691" s="5"/>
    </row>
    <row r="692" spans="2:33" x14ac:dyDescent="0.25">
      <c r="B692" s="33" t="s">
        <v>10</v>
      </c>
      <c r="C692" s="34" t="s">
        <v>27</v>
      </c>
      <c r="D692" s="34" t="s">
        <v>8</v>
      </c>
      <c r="E692" s="34" t="s">
        <v>28</v>
      </c>
      <c r="F692" s="35">
        <v>43647</v>
      </c>
      <c r="G692" s="43">
        <v>3068.5499999999997</v>
      </c>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10"/>
      <c r="AG692" s="5"/>
    </row>
    <row r="693" spans="2:33" x14ac:dyDescent="0.25">
      <c r="B693" s="36" t="s">
        <v>12</v>
      </c>
      <c r="C693" s="37" t="s">
        <v>24</v>
      </c>
      <c r="D693" s="37" t="s">
        <v>22</v>
      </c>
      <c r="E693" s="37" t="s">
        <v>29</v>
      </c>
      <c r="F693" s="38">
        <v>43647</v>
      </c>
      <c r="G693" s="44">
        <v>639.91999999999996</v>
      </c>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10"/>
      <c r="AG693" s="5"/>
    </row>
    <row r="694" spans="2:33" x14ac:dyDescent="0.25">
      <c r="B694" s="33" t="s">
        <v>15</v>
      </c>
      <c r="C694" s="34" t="s">
        <v>26</v>
      </c>
      <c r="D694" s="34" t="s">
        <v>22</v>
      </c>
      <c r="E694" s="34" t="s">
        <v>28</v>
      </c>
      <c r="F694" s="35">
        <v>43648</v>
      </c>
      <c r="G694" s="43">
        <v>7999.5</v>
      </c>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10"/>
      <c r="AG694" s="5"/>
    </row>
    <row r="695" spans="2:33" x14ac:dyDescent="0.25">
      <c r="B695" s="36" t="s">
        <v>14</v>
      </c>
      <c r="C695" s="37" t="s">
        <v>24</v>
      </c>
      <c r="D695" s="37" t="s">
        <v>7</v>
      </c>
      <c r="E695" s="37" t="s">
        <v>30</v>
      </c>
      <c r="F695" s="38">
        <v>43649</v>
      </c>
      <c r="G695" s="44">
        <v>319.95999999999998</v>
      </c>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10"/>
      <c r="AG695" s="5"/>
    </row>
    <row r="696" spans="2:33" x14ac:dyDescent="0.25">
      <c r="B696" s="33" t="s">
        <v>12</v>
      </c>
      <c r="C696" s="34" t="s">
        <v>27</v>
      </c>
      <c r="D696" s="34" t="s">
        <v>22</v>
      </c>
      <c r="E696" s="34" t="s">
        <v>32</v>
      </c>
      <c r="F696" s="35">
        <v>43649</v>
      </c>
      <c r="G696" s="43">
        <v>4432.3499999999995</v>
      </c>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10"/>
      <c r="AG696" s="5"/>
    </row>
    <row r="697" spans="2:33" x14ac:dyDescent="0.25">
      <c r="B697" s="36" t="s">
        <v>14</v>
      </c>
      <c r="C697" s="37" t="s">
        <v>25</v>
      </c>
      <c r="D697" s="37" t="s">
        <v>7</v>
      </c>
      <c r="E697" s="37" t="s">
        <v>28</v>
      </c>
      <c r="F697" s="38">
        <v>43651</v>
      </c>
      <c r="G697" s="44">
        <v>1351.6</v>
      </c>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10"/>
      <c r="AG697" s="5"/>
    </row>
    <row r="698" spans="2:33" x14ac:dyDescent="0.25">
      <c r="B698" s="33" t="s">
        <v>20</v>
      </c>
      <c r="C698" s="34" t="s">
        <v>24</v>
      </c>
      <c r="D698" s="34" t="s">
        <v>7</v>
      </c>
      <c r="E698" s="34" t="s">
        <v>29</v>
      </c>
      <c r="F698" s="35">
        <v>43653</v>
      </c>
      <c r="G698" s="43">
        <v>799.9</v>
      </c>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10"/>
      <c r="AG698" s="5"/>
    </row>
    <row r="699" spans="2:33" x14ac:dyDescent="0.25">
      <c r="B699" s="36" t="s">
        <v>14</v>
      </c>
      <c r="C699" s="37" t="s">
        <v>34</v>
      </c>
      <c r="D699" s="37" t="s">
        <v>7</v>
      </c>
      <c r="E699" s="37" t="s">
        <v>29</v>
      </c>
      <c r="F699" s="38">
        <v>43653</v>
      </c>
      <c r="G699" s="44">
        <v>2386.65</v>
      </c>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10"/>
      <c r="AG699" s="5"/>
    </row>
    <row r="700" spans="2:33" x14ac:dyDescent="0.25">
      <c r="B700" s="33" t="s">
        <v>13</v>
      </c>
      <c r="C700" s="34" t="s">
        <v>24</v>
      </c>
      <c r="D700" s="34" t="s">
        <v>7</v>
      </c>
      <c r="E700" s="34" t="s">
        <v>31</v>
      </c>
      <c r="F700" s="35">
        <v>43653</v>
      </c>
      <c r="G700" s="43">
        <v>1199.8499999999999</v>
      </c>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10"/>
      <c r="AG700" s="5"/>
    </row>
    <row r="701" spans="2:33" x14ac:dyDescent="0.25">
      <c r="B701" s="36" t="s">
        <v>21</v>
      </c>
      <c r="C701" s="37" t="s">
        <v>25</v>
      </c>
      <c r="D701" s="37" t="s">
        <v>8</v>
      </c>
      <c r="E701" s="37" t="s">
        <v>31</v>
      </c>
      <c r="F701" s="38">
        <v>43653</v>
      </c>
      <c r="G701" s="44">
        <v>506.84999999999997</v>
      </c>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10"/>
      <c r="AG701" s="5"/>
    </row>
    <row r="702" spans="2:33" x14ac:dyDescent="0.25">
      <c r="B702" s="33" t="s">
        <v>12</v>
      </c>
      <c r="C702" s="34" t="s">
        <v>24</v>
      </c>
      <c r="D702" s="34" t="s">
        <v>22</v>
      </c>
      <c r="E702" s="34" t="s">
        <v>30</v>
      </c>
      <c r="F702" s="35">
        <v>43654</v>
      </c>
      <c r="G702" s="43">
        <v>239.96999999999997</v>
      </c>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10"/>
      <c r="AG702" s="5"/>
    </row>
    <row r="703" spans="2:33" x14ac:dyDescent="0.25">
      <c r="B703" s="36" t="s">
        <v>19</v>
      </c>
      <c r="C703" s="37" t="s">
        <v>25</v>
      </c>
      <c r="D703" s="37" t="s">
        <v>22</v>
      </c>
      <c r="E703" s="37" t="s">
        <v>28</v>
      </c>
      <c r="F703" s="38">
        <v>43654</v>
      </c>
      <c r="G703" s="44">
        <v>2872.1499999999996</v>
      </c>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10"/>
      <c r="AG703" s="5"/>
    </row>
    <row r="704" spans="2:33" x14ac:dyDescent="0.25">
      <c r="B704" s="33" t="s">
        <v>18</v>
      </c>
      <c r="C704" s="34" t="s">
        <v>24</v>
      </c>
      <c r="D704" s="34" t="s">
        <v>22</v>
      </c>
      <c r="E704" s="34" t="s">
        <v>32</v>
      </c>
      <c r="F704" s="35">
        <v>43654</v>
      </c>
      <c r="G704" s="43">
        <v>1119.8599999999999</v>
      </c>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10"/>
      <c r="AG704" s="5"/>
    </row>
    <row r="705" spans="2:33" x14ac:dyDescent="0.25">
      <c r="B705" s="36" t="s">
        <v>17</v>
      </c>
      <c r="C705" s="37" t="s">
        <v>26</v>
      </c>
      <c r="D705" s="37" t="s">
        <v>9</v>
      </c>
      <c r="E705" s="37" t="s">
        <v>31</v>
      </c>
      <c r="F705" s="38">
        <v>43654</v>
      </c>
      <c r="G705" s="44">
        <v>3999.75</v>
      </c>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10"/>
      <c r="AG705" s="5"/>
    </row>
    <row r="706" spans="2:33" x14ac:dyDescent="0.25">
      <c r="B706" s="33" t="s">
        <v>11</v>
      </c>
      <c r="C706" s="34" t="s">
        <v>34</v>
      </c>
      <c r="D706" s="34" t="s">
        <v>9</v>
      </c>
      <c r="E706" s="34" t="s">
        <v>28</v>
      </c>
      <c r="F706" s="35">
        <v>43655</v>
      </c>
      <c r="G706" s="43">
        <v>2045.6999999999998</v>
      </c>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10"/>
      <c r="AG706" s="5"/>
    </row>
    <row r="707" spans="2:33" x14ac:dyDescent="0.25">
      <c r="B707" s="36" t="s">
        <v>21</v>
      </c>
      <c r="C707" s="37" t="s">
        <v>34</v>
      </c>
      <c r="D707" s="37" t="s">
        <v>8</v>
      </c>
      <c r="E707" s="37" t="s">
        <v>28</v>
      </c>
      <c r="F707" s="38">
        <v>43656</v>
      </c>
      <c r="G707" s="44">
        <v>3068.5499999999997</v>
      </c>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10"/>
      <c r="AG707" s="5"/>
    </row>
    <row r="708" spans="2:33" x14ac:dyDescent="0.25">
      <c r="B708" s="33" t="s">
        <v>21</v>
      </c>
      <c r="C708" s="34" t="s">
        <v>34</v>
      </c>
      <c r="D708" s="34" t="s">
        <v>8</v>
      </c>
      <c r="E708" s="34" t="s">
        <v>29</v>
      </c>
      <c r="F708" s="35">
        <v>43656</v>
      </c>
      <c r="G708" s="43">
        <v>2045.6999999999998</v>
      </c>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10"/>
      <c r="AG708" s="5"/>
    </row>
    <row r="709" spans="2:33" x14ac:dyDescent="0.25">
      <c r="B709" s="36" t="s">
        <v>10</v>
      </c>
      <c r="C709" s="37" t="s">
        <v>26</v>
      </c>
      <c r="D709" s="37" t="s">
        <v>8</v>
      </c>
      <c r="E709" s="37" t="s">
        <v>29</v>
      </c>
      <c r="F709" s="38">
        <v>43657</v>
      </c>
      <c r="G709" s="44">
        <v>5599.6500000000005</v>
      </c>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10"/>
      <c r="AG709" s="5"/>
    </row>
    <row r="710" spans="2:33" x14ac:dyDescent="0.25">
      <c r="B710" s="33" t="s">
        <v>12</v>
      </c>
      <c r="C710" s="34" t="s">
        <v>25</v>
      </c>
      <c r="D710" s="34" t="s">
        <v>22</v>
      </c>
      <c r="E710" s="34" t="s">
        <v>29</v>
      </c>
      <c r="F710" s="35">
        <v>43657</v>
      </c>
      <c r="G710" s="43">
        <v>675.8</v>
      </c>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10"/>
      <c r="AG710" s="5"/>
    </row>
    <row r="711" spans="2:33" x14ac:dyDescent="0.25">
      <c r="B711" s="36" t="s">
        <v>10</v>
      </c>
      <c r="C711" s="37" t="s">
        <v>25</v>
      </c>
      <c r="D711" s="37" t="s">
        <v>8</v>
      </c>
      <c r="E711" s="37" t="s">
        <v>28</v>
      </c>
      <c r="F711" s="38">
        <v>43658</v>
      </c>
      <c r="G711" s="44">
        <v>2196.35</v>
      </c>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10"/>
      <c r="AG711" s="5"/>
    </row>
    <row r="712" spans="2:33" x14ac:dyDescent="0.25">
      <c r="B712" s="33" t="s">
        <v>15</v>
      </c>
      <c r="C712" s="34" t="s">
        <v>24</v>
      </c>
      <c r="D712" s="34" t="s">
        <v>22</v>
      </c>
      <c r="E712" s="34" t="s">
        <v>29</v>
      </c>
      <c r="F712" s="35">
        <v>43661</v>
      </c>
      <c r="G712" s="43">
        <v>639.91999999999996</v>
      </c>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10"/>
      <c r="AG712" s="5"/>
    </row>
    <row r="713" spans="2:33" x14ac:dyDescent="0.25">
      <c r="B713" s="36" t="s">
        <v>15</v>
      </c>
      <c r="C713" s="37" t="s">
        <v>24</v>
      </c>
      <c r="D713" s="37" t="s">
        <v>22</v>
      </c>
      <c r="E713" s="37" t="s">
        <v>29</v>
      </c>
      <c r="F713" s="38">
        <v>43661</v>
      </c>
      <c r="G713" s="44">
        <v>959.87999999999988</v>
      </c>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10"/>
      <c r="AG713" s="5"/>
    </row>
    <row r="714" spans="2:33" x14ac:dyDescent="0.25">
      <c r="B714" s="33" t="s">
        <v>10</v>
      </c>
      <c r="C714" s="34" t="s">
        <v>24</v>
      </c>
      <c r="D714" s="34" t="s">
        <v>8</v>
      </c>
      <c r="E714" s="34" t="s">
        <v>31</v>
      </c>
      <c r="F714" s="35">
        <v>43661</v>
      </c>
      <c r="G714" s="43">
        <v>239.96999999999997</v>
      </c>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10"/>
      <c r="AG714" s="5"/>
    </row>
    <row r="715" spans="2:33" x14ac:dyDescent="0.25">
      <c r="B715" s="36" t="s">
        <v>19</v>
      </c>
      <c r="C715" s="37" t="s">
        <v>24</v>
      </c>
      <c r="D715" s="37" t="s">
        <v>22</v>
      </c>
      <c r="E715" s="37" t="s">
        <v>30</v>
      </c>
      <c r="F715" s="38">
        <v>43662</v>
      </c>
      <c r="G715" s="44">
        <v>1199.8499999999999</v>
      </c>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10"/>
      <c r="AG715" s="5"/>
    </row>
    <row r="716" spans="2:33" x14ac:dyDescent="0.25">
      <c r="B716" s="33" t="s">
        <v>10</v>
      </c>
      <c r="C716" s="34" t="s">
        <v>25</v>
      </c>
      <c r="D716" s="34" t="s">
        <v>8</v>
      </c>
      <c r="E716" s="34" t="s">
        <v>32</v>
      </c>
      <c r="F716" s="35">
        <v>43662</v>
      </c>
      <c r="G716" s="43">
        <v>675.8</v>
      </c>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10"/>
      <c r="AG716" s="5"/>
    </row>
    <row r="717" spans="2:33" x14ac:dyDescent="0.25">
      <c r="B717" s="36" t="s">
        <v>13</v>
      </c>
      <c r="C717" s="37" t="s">
        <v>24</v>
      </c>
      <c r="D717" s="37" t="s">
        <v>7</v>
      </c>
      <c r="E717" s="37" t="s">
        <v>32</v>
      </c>
      <c r="F717" s="38">
        <v>43663</v>
      </c>
      <c r="G717" s="44">
        <v>959.87999999999988</v>
      </c>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10"/>
      <c r="AG717" s="5"/>
    </row>
    <row r="718" spans="2:33" x14ac:dyDescent="0.25">
      <c r="B718" s="33" t="s">
        <v>20</v>
      </c>
      <c r="C718" s="34" t="s">
        <v>34</v>
      </c>
      <c r="D718" s="34" t="s">
        <v>8</v>
      </c>
      <c r="E718" s="34" t="s">
        <v>29</v>
      </c>
      <c r="F718" s="35">
        <v>43663</v>
      </c>
      <c r="G718" s="43">
        <v>681.9</v>
      </c>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10"/>
      <c r="AG718" s="5"/>
    </row>
    <row r="719" spans="2:33" x14ac:dyDescent="0.25">
      <c r="B719" s="36" t="s">
        <v>21</v>
      </c>
      <c r="C719" s="37" t="s">
        <v>27</v>
      </c>
      <c r="D719" s="37" t="s">
        <v>8</v>
      </c>
      <c r="E719" s="37" t="s">
        <v>29</v>
      </c>
      <c r="F719" s="38">
        <v>43664</v>
      </c>
      <c r="G719" s="44">
        <v>1704.75</v>
      </c>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10"/>
      <c r="AG719" s="5"/>
    </row>
    <row r="720" spans="2:33" x14ac:dyDescent="0.25">
      <c r="B720" s="33" t="s">
        <v>13</v>
      </c>
      <c r="C720" s="34" t="s">
        <v>27</v>
      </c>
      <c r="D720" s="34" t="s">
        <v>7</v>
      </c>
      <c r="E720" s="34" t="s">
        <v>31</v>
      </c>
      <c r="F720" s="35">
        <v>43664</v>
      </c>
      <c r="G720" s="43">
        <v>1022.8499999999999</v>
      </c>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10"/>
      <c r="AG720" s="5"/>
    </row>
    <row r="721" spans="2:33" x14ac:dyDescent="0.25">
      <c r="B721" s="36" t="s">
        <v>14</v>
      </c>
      <c r="C721" s="37" t="s">
        <v>24</v>
      </c>
      <c r="D721" s="37" t="s">
        <v>7</v>
      </c>
      <c r="E721" s="37" t="s">
        <v>32</v>
      </c>
      <c r="F721" s="38">
        <v>43665</v>
      </c>
      <c r="G721" s="44">
        <v>239.96999999999997</v>
      </c>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10"/>
      <c r="AG721" s="5"/>
    </row>
    <row r="722" spans="2:33" x14ac:dyDescent="0.25">
      <c r="B722" s="33" t="s">
        <v>18</v>
      </c>
      <c r="C722" s="34" t="s">
        <v>25</v>
      </c>
      <c r="D722" s="34" t="s">
        <v>22</v>
      </c>
      <c r="E722" s="34" t="s">
        <v>30</v>
      </c>
      <c r="F722" s="35">
        <v>43669</v>
      </c>
      <c r="G722" s="43">
        <v>337.9</v>
      </c>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10"/>
      <c r="AG722" s="5"/>
    </row>
    <row r="723" spans="2:33" x14ac:dyDescent="0.25">
      <c r="B723" s="36" t="s">
        <v>21</v>
      </c>
      <c r="C723" s="37" t="s">
        <v>25</v>
      </c>
      <c r="D723" s="37" t="s">
        <v>8</v>
      </c>
      <c r="E723" s="37" t="s">
        <v>30</v>
      </c>
      <c r="F723" s="38">
        <v>43669</v>
      </c>
      <c r="G723" s="44">
        <v>337.9</v>
      </c>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10"/>
      <c r="AG723" s="5"/>
    </row>
    <row r="724" spans="2:33" x14ac:dyDescent="0.25">
      <c r="B724" s="33" t="s">
        <v>18</v>
      </c>
      <c r="C724" s="34" t="s">
        <v>24</v>
      </c>
      <c r="D724" s="34" t="s">
        <v>22</v>
      </c>
      <c r="E724" s="34" t="s">
        <v>31</v>
      </c>
      <c r="F724" s="35">
        <v>43670</v>
      </c>
      <c r="G724" s="43">
        <v>159.97999999999999</v>
      </c>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10"/>
      <c r="AG724" s="5"/>
    </row>
    <row r="725" spans="2:33" x14ac:dyDescent="0.25">
      <c r="B725" s="36" t="s">
        <v>15</v>
      </c>
      <c r="C725" s="37" t="s">
        <v>34</v>
      </c>
      <c r="D725" s="37" t="s">
        <v>22</v>
      </c>
      <c r="E725" s="37" t="s">
        <v>31</v>
      </c>
      <c r="F725" s="38">
        <v>43671</v>
      </c>
      <c r="G725" s="44">
        <v>2045.6999999999998</v>
      </c>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10"/>
      <c r="AG725" s="5"/>
    </row>
    <row r="726" spans="2:33" x14ac:dyDescent="0.25">
      <c r="B726" s="33" t="s">
        <v>14</v>
      </c>
      <c r="C726" s="34" t="s">
        <v>25</v>
      </c>
      <c r="D726" s="34" t="s">
        <v>7</v>
      </c>
      <c r="E726" s="34" t="s">
        <v>28</v>
      </c>
      <c r="F726" s="35">
        <v>43672</v>
      </c>
      <c r="G726" s="43">
        <v>2872.1499999999996</v>
      </c>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10"/>
      <c r="AG726" s="5"/>
    </row>
    <row r="727" spans="2:33" x14ac:dyDescent="0.25">
      <c r="B727" s="36" t="s">
        <v>21</v>
      </c>
      <c r="C727" s="37" t="s">
        <v>26</v>
      </c>
      <c r="D727" s="37" t="s">
        <v>8</v>
      </c>
      <c r="E727" s="37" t="s">
        <v>29</v>
      </c>
      <c r="F727" s="38">
        <v>43674</v>
      </c>
      <c r="G727" s="44">
        <v>7999.5</v>
      </c>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10"/>
      <c r="AG727" s="5"/>
    </row>
    <row r="728" spans="2:33" x14ac:dyDescent="0.25">
      <c r="B728" s="33" t="s">
        <v>12</v>
      </c>
      <c r="C728" s="34" t="s">
        <v>27</v>
      </c>
      <c r="D728" s="34" t="s">
        <v>22</v>
      </c>
      <c r="E728" s="34" t="s">
        <v>29</v>
      </c>
      <c r="F728" s="35">
        <v>43674</v>
      </c>
      <c r="G728" s="43">
        <v>4773.3</v>
      </c>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10"/>
      <c r="AG728" s="5"/>
    </row>
    <row r="729" spans="2:33" x14ac:dyDescent="0.25">
      <c r="B729" s="36" t="s">
        <v>21</v>
      </c>
      <c r="C729" s="37" t="s">
        <v>34</v>
      </c>
      <c r="D729" s="37" t="s">
        <v>8</v>
      </c>
      <c r="E729" s="37" t="s">
        <v>30</v>
      </c>
      <c r="F729" s="38">
        <v>43675</v>
      </c>
      <c r="G729" s="44">
        <v>3068.5499999999997</v>
      </c>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10"/>
      <c r="AG729" s="5"/>
    </row>
    <row r="730" spans="2:33" x14ac:dyDescent="0.25">
      <c r="B730" s="33" t="s">
        <v>13</v>
      </c>
      <c r="C730" s="34" t="s">
        <v>24</v>
      </c>
      <c r="D730" s="34" t="s">
        <v>7</v>
      </c>
      <c r="E730" s="34" t="s">
        <v>32</v>
      </c>
      <c r="F730" s="35">
        <v>43675</v>
      </c>
      <c r="G730" s="43">
        <v>799.9</v>
      </c>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10"/>
      <c r="AG730" s="5"/>
    </row>
    <row r="731" spans="2:33" x14ac:dyDescent="0.25">
      <c r="B731" s="36" t="s">
        <v>15</v>
      </c>
      <c r="C731" s="37" t="s">
        <v>24</v>
      </c>
      <c r="D731" s="37" t="s">
        <v>22</v>
      </c>
      <c r="E731" s="37" t="s">
        <v>28</v>
      </c>
      <c r="F731" s="38">
        <v>43677</v>
      </c>
      <c r="G731" s="44">
        <v>639.91999999999996</v>
      </c>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10"/>
      <c r="AG731" s="5"/>
    </row>
    <row r="732" spans="2:33" x14ac:dyDescent="0.25">
      <c r="B732" s="33" t="s">
        <v>21</v>
      </c>
      <c r="C732" s="34" t="s">
        <v>24</v>
      </c>
      <c r="D732" s="34" t="s">
        <v>8</v>
      </c>
      <c r="E732" s="34" t="s">
        <v>31</v>
      </c>
      <c r="F732" s="35">
        <v>43678</v>
      </c>
      <c r="G732" s="43">
        <v>719.91</v>
      </c>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10"/>
      <c r="AG732" s="5"/>
    </row>
    <row r="733" spans="2:33" x14ac:dyDescent="0.25">
      <c r="B733" s="36" t="s">
        <v>14</v>
      </c>
      <c r="C733" s="37" t="s">
        <v>26</v>
      </c>
      <c r="D733" s="37" t="s">
        <v>7</v>
      </c>
      <c r="E733" s="37" t="s">
        <v>29</v>
      </c>
      <c r="F733" s="38">
        <v>43679</v>
      </c>
      <c r="G733" s="44">
        <v>5599.6500000000005</v>
      </c>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10"/>
      <c r="AG733" s="5"/>
    </row>
    <row r="734" spans="2:33" x14ac:dyDescent="0.25">
      <c r="B734" s="33" t="s">
        <v>18</v>
      </c>
      <c r="C734" s="34" t="s">
        <v>26</v>
      </c>
      <c r="D734" s="34" t="s">
        <v>22</v>
      </c>
      <c r="E734" s="34" t="s">
        <v>31</v>
      </c>
      <c r="F734" s="35">
        <v>43679</v>
      </c>
      <c r="G734" s="43">
        <v>3999.75</v>
      </c>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10"/>
      <c r="AG734" s="5"/>
    </row>
    <row r="735" spans="2:33" x14ac:dyDescent="0.25">
      <c r="B735" s="36" t="s">
        <v>10</v>
      </c>
      <c r="C735" s="37" t="s">
        <v>34</v>
      </c>
      <c r="D735" s="37" t="s">
        <v>8</v>
      </c>
      <c r="E735" s="37" t="s">
        <v>29</v>
      </c>
      <c r="F735" s="38">
        <v>43681</v>
      </c>
      <c r="G735" s="44">
        <v>2727.6</v>
      </c>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10"/>
      <c r="AG735" s="5"/>
    </row>
    <row r="736" spans="2:33" x14ac:dyDescent="0.25">
      <c r="B736" s="33" t="s">
        <v>18</v>
      </c>
      <c r="C736" s="34" t="s">
        <v>27</v>
      </c>
      <c r="D736" s="34" t="s">
        <v>22</v>
      </c>
      <c r="E736" s="34" t="s">
        <v>29</v>
      </c>
      <c r="F736" s="35">
        <v>43682</v>
      </c>
      <c r="G736" s="43">
        <v>3409.5</v>
      </c>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10"/>
      <c r="AG736" s="5"/>
    </row>
    <row r="737" spans="2:33" x14ac:dyDescent="0.25">
      <c r="B737" s="36" t="s">
        <v>10</v>
      </c>
      <c r="C737" s="37" t="s">
        <v>25</v>
      </c>
      <c r="D737" s="37" t="s">
        <v>8</v>
      </c>
      <c r="E737" s="37" t="s">
        <v>31</v>
      </c>
      <c r="F737" s="38">
        <v>43682</v>
      </c>
      <c r="G737" s="44">
        <v>844.75</v>
      </c>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10"/>
      <c r="AG737" s="5"/>
    </row>
    <row r="738" spans="2:33" x14ac:dyDescent="0.25">
      <c r="B738" s="33" t="s">
        <v>15</v>
      </c>
      <c r="C738" s="34" t="s">
        <v>34</v>
      </c>
      <c r="D738" s="34" t="s">
        <v>22</v>
      </c>
      <c r="E738" s="34" t="s">
        <v>30</v>
      </c>
      <c r="F738" s="35">
        <v>43684</v>
      </c>
      <c r="G738" s="43">
        <v>3409.5</v>
      </c>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10"/>
      <c r="AG738" s="5"/>
    </row>
    <row r="739" spans="2:33" x14ac:dyDescent="0.25">
      <c r="B739" s="36" t="s">
        <v>18</v>
      </c>
      <c r="C739" s="37" t="s">
        <v>24</v>
      </c>
      <c r="D739" s="37" t="s">
        <v>22</v>
      </c>
      <c r="E739" s="37" t="s">
        <v>29</v>
      </c>
      <c r="F739" s="38">
        <v>43684</v>
      </c>
      <c r="G739" s="44">
        <v>239.96999999999997</v>
      </c>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10"/>
      <c r="AG739" s="5"/>
    </row>
    <row r="740" spans="2:33" x14ac:dyDescent="0.25">
      <c r="B740" s="33" t="s">
        <v>21</v>
      </c>
      <c r="C740" s="34" t="s">
        <v>34</v>
      </c>
      <c r="D740" s="34" t="s">
        <v>8</v>
      </c>
      <c r="E740" s="34" t="s">
        <v>28</v>
      </c>
      <c r="F740" s="35">
        <v>43685</v>
      </c>
      <c r="G740" s="43">
        <v>5455.2</v>
      </c>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10"/>
      <c r="AG740" s="5"/>
    </row>
    <row r="741" spans="2:33" x14ac:dyDescent="0.25">
      <c r="B741" s="36" t="s">
        <v>11</v>
      </c>
      <c r="C741" s="37" t="s">
        <v>24</v>
      </c>
      <c r="D741" s="37" t="s">
        <v>9</v>
      </c>
      <c r="E741" s="37" t="s">
        <v>30</v>
      </c>
      <c r="F741" s="38">
        <v>43686</v>
      </c>
      <c r="G741" s="44">
        <v>639.91999999999996</v>
      </c>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10"/>
      <c r="AG741" s="5"/>
    </row>
    <row r="742" spans="2:33" x14ac:dyDescent="0.25">
      <c r="B742" s="33" t="s">
        <v>10</v>
      </c>
      <c r="C742" s="34" t="s">
        <v>27</v>
      </c>
      <c r="D742" s="34" t="s">
        <v>8</v>
      </c>
      <c r="E742" s="34" t="s">
        <v>29</v>
      </c>
      <c r="F742" s="35">
        <v>43686</v>
      </c>
      <c r="G742" s="43">
        <v>1704.75</v>
      </c>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10"/>
      <c r="AG742" s="5"/>
    </row>
    <row r="743" spans="2:33" x14ac:dyDescent="0.25">
      <c r="B743" s="36" t="s">
        <v>19</v>
      </c>
      <c r="C743" s="37" t="s">
        <v>27</v>
      </c>
      <c r="D743" s="37" t="s">
        <v>22</v>
      </c>
      <c r="E743" s="37" t="s">
        <v>30</v>
      </c>
      <c r="F743" s="38">
        <v>43689</v>
      </c>
      <c r="G743" s="44">
        <v>4432.3499999999995</v>
      </c>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10"/>
      <c r="AG743" s="5"/>
    </row>
    <row r="744" spans="2:33" x14ac:dyDescent="0.25">
      <c r="B744" s="33" t="s">
        <v>15</v>
      </c>
      <c r="C744" s="34" t="s">
        <v>24</v>
      </c>
      <c r="D744" s="34" t="s">
        <v>22</v>
      </c>
      <c r="E744" s="34" t="s">
        <v>30</v>
      </c>
      <c r="F744" s="35">
        <v>43689</v>
      </c>
      <c r="G744" s="43">
        <v>1039.8699999999999</v>
      </c>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10"/>
      <c r="AG744" s="5"/>
    </row>
    <row r="745" spans="2:33" x14ac:dyDescent="0.25">
      <c r="B745" s="36" t="s">
        <v>17</v>
      </c>
      <c r="C745" s="37" t="s">
        <v>34</v>
      </c>
      <c r="D745" s="37" t="s">
        <v>9</v>
      </c>
      <c r="E745" s="37" t="s">
        <v>30</v>
      </c>
      <c r="F745" s="38">
        <v>43689</v>
      </c>
      <c r="G745" s="44">
        <v>3750.45</v>
      </c>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10"/>
      <c r="AG745" s="5"/>
    </row>
    <row r="746" spans="2:33" x14ac:dyDescent="0.25">
      <c r="B746" s="33" t="s">
        <v>14</v>
      </c>
      <c r="C746" s="34" t="s">
        <v>26</v>
      </c>
      <c r="D746" s="34" t="s">
        <v>7</v>
      </c>
      <c r="E746" s="34" t="s">
        <v>29</v>
      </c>
      <c r="F746" s="35">
        <v>43689</v>
      </c>
      <c r="G746" s="43">
        <v>9599.4000000000015</v>
      </c>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10"/>
      <c r="AG746" s="5"/>
    </row>
    <row r="747" spans="2:33" x14ac:dyDescent="0.25">
      <c r="B747" s="36" t="s">
        <v>19</v>
      </c>
      <c r="C747" s="37" t="s">
        <v>24</v>
      </c>
      <c r="D747" s="37" t="s">
        <v>22</v>
      </c>
      <c r="E747" s="37" t="s">
        <v>31</v>
      </c>
      <c r="F747" s="38">
        <v>43689</v>
      </c>
      <c r="G747" s="44">
        <v>79.989999999999995</v>
      </c>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10"/>
      <c r="AG747" s="5"/>
    </row>
    <row r="748" spans="2:33" x14ac:dyDescent="0.25">
      <c r="B748" s="33" t="s">
        <v>12</v>
      </c>
      <c r="C748" s="34" t="s">
        <v>25</v>
      </c>
      <c r="D748" s="34" t="s">
        <v>22</v>
      </c>
      <c r="E748" s="34" t="s">
        <v>28</v>
      </c>
      <c r="F748" s="35">
        <v>43690</v>
      </c>
      <c r="G748" s="43">
        <v>1351.6</v>
      </c>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10"/>
      <c r="AG748" s="5"/>
    </row>
    <row r="749" spans="2:33" x14ac:dyDescent="0.25">
      <c r="B749" s="36" t="s">
        <v>14</v>
      </c>
      <c r="C749" s="37" t="s">
        <v>34</v>
      </c>
      <c r="D749" s="37" t="s">
        <v>7</v>
      </c>
      <c r="E749" s="37" t="s">
        <v>31</v>
      </c>
      <c r="F749" s="38">
        <v>43690</v>
      </c>
      <c r="G749" s="44">
        <v>2386.65</v>
      </c>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10"/>
      <c r="AG749" s="5"/>
    </row>
    <row r="750" spans="2:33" x14ac:dyDescent="0.25">
      <c r="B750" s="33" t="s">
        <v>14</v>
      </c>
      <c r="C750" s="34" t="s">
        <v>26</v>
      </c>
      <c r="D750" s="34" t="s">
        <v>7</v>
      </c>
      <c r="E750" s="34" t="s">
        <v>28</v>
      </c>
      <c r="F750" s="35">
        <v>43692</v>
      </c>
      <c r="G750" s="43">
        <v>12799.2</v>
      </c>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10"/>
      <c r="AG750" s="5"/>
    </row>
    <row r="751" spans="2:33" x14ac:dyDescent="0.25">
      <c r="B751" s="36" t="s">
        <v>13</v>
      </c>
      <c r="C751" s="37" t="s">
        <v>25</v>
      </c>
      <c r="D751" s="37" t="s">
        <v>7</v>
      </c>
      <c r="E751" s="37" t="s">
        <v>31</v>
      </c>
      <c r="F751" s="38">
        <v>43692</v>
      </c>
      <c r="G751" s="44">
        <v>844.75</v>
      </c>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10"/>
      <c r="AG751" s="5"/>
    </row>
    <row r="752" spans="2:33" x14ac:dyDescent="0.25">
      <c r="B752" s="33" t="s">
        <v>14</v>
      </c>
      <c r="C752" s="34" t="s">
        <v>24</v>
      </c>
      <c r="D752" s="34" t="s">
        <v>7</v>
      </c>
      <c r="E752" s="34" t="s">
        <v>31</v>
      </c>
      <c r="F752" s="35">
        <v>43692</v>
      </c>
      <c r="G752" s="43">
        <v>639.91999999999996</v>
      </c>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10"/>
      <c r="AG752" s="5"/>
    </row>
    <row r="753" spans="2:33" x14ac:dyDescent="0.25">
      <c r="B753" s="36" t="s">
        <v>13</v>
      </c>
      <c r="C753" s="37" t="s">
        <v>27</v>
      </c>
      <c r="D753" s="37" t="s">
        <v>7</v>
      </c>
      <c r="E753" s="37" t="s">
        <v>30</v>
      </c>
      <c r="F753" s="38">
        <v>43693</v>
      </c>
      <c r="G753" s="44">
        <v>3068.5499999999997</v>
      </c>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10"/>
      <c r="AG753" s="5"/>
    </row>
    <row r="754" spans="2:33" x14ac:dyDescent="0.25">
      <c r="B754" s="33" t="s">
        <v>17</v>
      </c>
      <c r="C754" s="34" t="s">
        <v>27</v>
      </c>
      <c r="D754" s="34" t="s">
        <v>9</v>
      </c>
      <c r="E754" s="34" t="s">
        <v>32</v>
      </c>
      <c r="F754" s="35">
        <v>43693</v>
      </c>
      <c r="G754" s="43">
        <v>2727.6</v>
      </c>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10"/>
      <c r="AG754" s="5"/>
    </row>
    <row r="755" spans="2:33" x14ac:dyDescent="0.25">
      <c r="B755" s="36" t="s">
        <v>14</v>
      </c>
      <c r="C755" s="37" t="s">
        <v>34</v>
      </c>
      <c r="D755" s="37" t="s">
        <v>7</v>
      </c>
      <c r="E755" s="37" t="s">
        <v>29</v>
      </c>
      <c r="F755" s="38">
        <v>43693</v>
      </c>
      <c r="G755" s="44">
        <v>1022.8499999999999</v>
      </c>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10"/>
      <c r="AG755" s="5"/>
    </row>
    <row r="756" spans="2:33" x14ac:dyDescent="0.25">
      <c r="B756" s="33" t="s">
        <v>13</v>
      </c>
      <c r="C756" s="34" t="s">
        <v>27</v>
      </c>
      <c r="D756" s="34" t="s">
        <v>7</v>
      </c>
      <c r="E756" s="34" t="s">
        <v>31</v>
      </c>
      <c r="F756" s="35">
        <v>43693</v>
      </c>
      <c r="G756" s="43">
        <v>5114.25</v>
      </c>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10"/>
      <c r="AG756" s="5"/>
    </row>
    <row r="757" spans="2:33" x14ac:dyDescent="0.25">
      <c r="B757" s="36" t="s">
        <v>18</v>
      </c>
      <c r="C757" s="37" t="s">
        <v>26</v>
      </c>
      <c r="D757" s="37" t="s">
        <v>22</v>
      </c>
      <c r="E757" s="37" t="s">
        <v>29</v>
      </c>
      <c r="F757" s="38">
        <v>43696</v>
      </c>
      <c r="G757" s="44">
        <v>10399.35</v>
      </c>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10"/>
      <c r="AG757" s="5"/>
    </row>
    <row r="758" spans="2:33" x14ac:dyDescent="0.25">
      <c r="B758" s="33" t="s">
        <v>21</v>
      </c>
      <c r="C758" s="34" t="s">
        <v>24</v>
      </c>
      <c r="D758" s="34" t="s">
        <v>8</v>
      </c>
      <c r="E758" s="34" t="s">
        <v>29</v>
      </c>
      <c r="F758" s="35">
        <v>43696</v>
      </c>
      <c r="G758" s="43">
        <v>559.92999999999995</v>
      </c>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10"/>
      <c r="AG758" s="5"/>
    </row>
    <row r="759" spans="2:33" x14ac:dyDescent="0.25">
      <c r="B759" s="36" t="s">
        <v>10</v>
      </c>
      <c r="C759" s="37" t="s">
        <v>27</v>
      </c>
      <c r="D759" s="37" t="s">
        <v>8</v>
      </c>
      <c r="E759" s="37" t="s">
        <v>31</v>
      </c>
      <c r="F759" s="38">
        <v>43696</v>
      </c>
      <c r="G759" s="44">
        <v>340.95</v>
      </c>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10"/>
      <c r="AG759" s="5"/>
    </row>
    <row r="760" spans="2:33" x14ac:dyDescent="0.25">
      <c r="B760" s="33" t="s">
        <v>20</v>
      </c>
      <c r="C760" s="34" t="s">
        <v>24</v>
      </c>
      <c r="D760" s="34" t="s">
        <v>7</v>
      </c>
      <c r="E760" s="34" t="s">
        <v>30</v>
      </c>
      <c r="F760" s="35">
        <v>43697</v>
      </c>
      <c r="G760" s="43">
        <v>1039.8699999999999</v>
      </c>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10"/>
      <c r="AG760" s="5"/>
    </row>
    <row r="761" spans="2:33" x14ac:dyDescent="0.25">
      <c r="B761" s="36" t="s">
        <v>18</v>
      </c>
      <c r="C761" s="37" t="s">
        <v>25</v>
      </c>
      <c r="D761" s="37" t="s">
        <v>22</v>
      </c>
      <c r="E761" s="37" t="s">
        <v>29</v>
      </c>
      <c r="F761" s="38">
        <v>43697</v>
      </c>
      <c r="G761" s="44">
        <v>337.9</v>
      </c>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10"/>
      <c r="AG761" s="5"/>
    </row>
    <row r="762" spans="2:33" x14ac:dyDescent="0.25">
      <c r="B762" s="33" t="s">
        <v>10</v>
      </c>
      <c r="C762" s="34" t="s">
        <v>34</v>
      </c>
      <c r="D762" s="34" t="s">
        <v>8</v>
      </c>
      <c r="E762" s="34" t="s">
        <v>32</v>
      </c>
      <c r="F762" s="35">
        <v>43699</v>
      </c>
      <c r="G762" s="43">
        <v>340.95</v>
      </c>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10"/>
      <c r="AG762" s="5"/>
    </row>
    <row r="763" spans="2:33" x14ac:dyDescent="0.25">
      <c r="B763" s="36" t="s">
        <v>10</v>
      </c>
      <c r="C763" s="37" t="s">
        <v>27</v>
      </c>
      <c r="D763" s="37" t="s">
        <v>8</v>
      </c>
      <c r="E763" s="37" t="s">
        <v>29</v>
      </c>
      <c r="F763" s="38">
        <v>43700</v>
      </c>
      <c r="G763" s="44">
        <v>340.95</v>
      </c>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10"/>
      <c r="AG763" s="5"/>
    </row>
    <row r="764" spans="2:33" x14ac:dyDescent="0.25">
      <c r="B764" s="33" t="s">
        <v>11</v>
      </c>
      <c r="C764" s="34" t="s">
        <v>24</v>
      </c>
      <c r="D764" s="34" t="s">
        <v>9</v>
      </c>
      <c r="E764" s="34" t="s">
        <v>31</v>
      </c>
      <c r="F764" s="35">
        <v>43702</v>
      </c>
      <c r="G764" s="43">
        <v>639.91999999999996</v>
      </c>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10"/>
      <c r="AG764" s="5"/>
    </row>
    <row r="765" spans="2:33" x14ac:dyDescent="0.25">
      <c r="B765" s="36" t="s">
        <v>15</v>
      </c>
      <c r="C765" s="37" t="s">
        <v>26</v>
      </c>
      <c r="D765" s="37" t="s">
        <v>22</v>
      </c>
      <c r="E765" s="37" t="s">
        <v>32</v>
      </c>
      <c r="F765" s="38">
        <v>43703</v>
      </c>
      <c r="G765" s="44">
        <v>7999.5</v>
      </c>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10"/>
      <c r="AG765" s="5"/>
    </row>
    <row r="766" spans="2:33" x14ac:dyDescent="0.25">
      <c r="B766" s="33" t="s">
        <v>17</v>
      </c>
      <c r="C766" s="34" t="s">
        <v>24</v>
      </c>
      <c r="D766" s="34" t="s">
        <v>9</v>
      </c>
      <c r="E766" s="34" t="s">
        <v>31</v>
      </c>
      <c r="F766" s="35">
        <v>43704</v>
      </c>
      <c r="G766" s="43">
        <v>1199.8499999999999</v>
      </c>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10"/>
      <c r="AG766" s="5"/>
    </row>
    <row r="767" spans="2:33" x14ac:dyDescent="0.25">
      <c r="B767" s="36" t="s">
        <v>10</v>
      </c>
      <c r="C767" s="37" t="s">
        <v>25</v>
      </c>
      <c r="D767" s="37" t="s">
        <v>8</v>
      </c>
      <c r="E767" s="37" t="s">
        <v>32</v>
      </c>
      <c r="F767" s="38">
        <v>43705</v>
      </c>
      <c r="G767" s="44">
        <v>2196.35</v>
      </c>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10"/>
      <c r="AG767" s="5"/>
    </row>
    <row r="768" spans="2:33" x14ac:dyDescent="0.25">
      <c r="B768" s="33" t="s">
        <v>19</v>
      </c>
      <c r="C768" s="34" t="s">
        <v>25</v>
      </c>
      <c r="D768" s="34" t="s">
        <v>22</v>
      </c>
      <c r="E768" s="34" t="s">
        <v>31</v>
      </c>
      <c r="F768" s="35">
        <v>43705</v>
      </c>
      <c r="G768" s="43">
        <v>2027.3999999999999</v>
      </c>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10"/>
      <c r="AG768" s="5"/>
    </row>
    <row r="769" spans="2:33" x14ac:dyDescent="0.25">
      <c r="B769" s="36" t="s">
        <v>10</v>
      </c>
      <c r="C769" s="37" t="s">
        <v>27</v>
      </c>
      <c r="D769" s="37" t="s">
        <v>8</v>
      </c>
      <c r="E769" s="37" t="s">
        <v>30</v>
      </c>
      <c r="F769" s="38">
        <v>43706</v>
      </c>
      <c r="G769" s="44">
        <v>1704.75</v>
      </c>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10"/>
      <c r="AG769" s="5"/>
    </row>
    <row r="770" spans="2:33" x14ac:dyDescent="0.25">
      <c r="B770" s="33" t="s">
        <v>18</v>
      </c>
      <c r="C770" s="34" t="s">
        <v>34</v>
      </c>
      <c r="D770" s="34" t="s">
        <v>22</v>
      </c>
      <c r="E770" s="34" t="s">
        <v>31</v>
      </c>
      <c r="F770" s="35">
        <v>43707</v>
      </c>
      <c r="G770" s="43">
        <v>2386.65</v>
      </c>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10"/>
      <c r="AG770" s="5"/>
    </row>
    <row r="771" spans="2:33" x14ac:dyDescent="0.25">
      <c r="B771" s="36" t="s">
        <v>10</v>
      </c>
      <c r="C771" s="37" t="s">
        <v>27</v>
      </c>
      <c r="D771" s="37" t="s">
        <v>8</v>
      </c>
      <c r="E771" s="37" t="s">
        <v>29</v>
      </c>
      <c r="F771" s="38">
        <v>43710</v>
      </c>
      <c r="G771" s="44">
        <v>1704.75</v>
      </c>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10"/>
      <c r="AG771" s="5"/>
    </row>
    <row r="772" spans="2:33" x14ac:dyDescent="0.25">
      <c r="B772" s="33" t="s">
        <v>10</v>
      </c>
      <c r="C772" s="34" t="s">
        <v>27</v>
      </c>
      <c r="D772" s="34" t="s">
        <v>8</v>
      </c>
      <c r="E772" s="34" t="s">
        <v>29</v>
      </c>
      <c r="F772" s="35">
        <v>43711</v>
      </c>
      <c r="G772" s="43">
        <v>3409.5</v>
      </c>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10"/>
      <c r="AG772" s="5"/>
    </row>
    <row r="773" spans="2:33" x14ac:dyDescent="0.25">
      <c r="B773" s="36" t="s">
        <v>10</v>
      </c>
      <c r="C773" s="37" t="s">
        <v>24</v>
      </c>
      <c r="D773" s="37" t="s">
        <v>8</v>
      </c>
      <c r="E773" s="37" t="s">
        <v>29</v>
      </c>
      <c r="F773" s="38">
        <v>43712</v>
      </c>
      <c r="G773" s="44">
        <v>559.92999999999995</v>
      </c>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10"/>
      <c r="AG773" s="5"/>
    </row>
    <row r="774" spans="2:33" x14ac:dyDescent="0.25">
      <c r="B774" s="33" t="s">
        <v>12</v>
      </c>
      <c r="C774" s="34" t="s">
        <v>26</v>
      </c>
      <c r="D774" s="34" t="s">
        <v>22</v>
      </c>
      <c r="E774" s="34" t="s">
        <v>30</v>
      </c>
      <c r="F774" s="35">
        <v>43713</v>
      </c>
      <c r="G774" s="43">
        <v>10399.35</v>
      </c>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10"/>
      <c r="AG774" s="5"/>
    </row>
    <row r="775" spans="2:33" x14ac:dyDescent="0.25">
      <c r="B775" s="36" t="s">
        <v>11</v>
      </c>
      <c r="C775" s="37" t="s">
        <v>25</v>
      </c>
      <c r="D775" s="37" t="s">
        <v>9</v>
      </c>
      <c r="E775" s="37" t="s">
        <v>32</v>
      </c>
      <c r="F775" s="38">
        <v>43714</v>
      </c>
      <c r="G775" s="44">
        <v>506.84999999999997</v>
      </c>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10"/>
      <c r="AG775" s="5"/>
    </row>
    <row r="776" spans="2:33" x14ac:dyDescent="0.25">
      <c r="B776" s="33" t="s">
        <v>14</v>
      </c>
      <c r="C776" s="34" t="s">
        <v>34</v>
      </c>
      <c r="D776" s="34" t="s">
        <v>7</v>
      </c>
      <c r="E776" s="34" t="s">
        <v>31</v>
      </c>
      <c r="F776" s="35">
        <v>43714</v>
      </c>
      <c r="G776" s="43">
        <v>2386.65</v>
      </c>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10"/>
      <c r="AG776" s="5"/>
    </row>
    <row r="777" spans="2:33" x14ac:dyDescent="0.25">
      <c r="B777" s="36" t="s">
        <v>15</v>
      </c>
      <c r="C777" s="37" t="s">
        <v>34</v>
      </c>
      <c r="D777" s="37" t="s">
        <v>22</v>
      </c>
      <c r="E777" s="37" t="s">
        <v>30</v>
      </c>
      <c r="F777" s="38">
        <v>43717</v>
      </c>
      <c r="G777" s="44">
        <v>3068.5499999999997</v>
      </c>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10"/>
      <c r="AG777" s="5"/>
    </row>
    <row r="778" spans="2:33" x14ac:dyDescent="0.25">
      <c r="B778" s="33" t="s">
        <v>13</v>
      </c>
      <c r="C778" s="34" t="s">
        <v>24</v>
      </c>
      <c r="D778" s="34" t="s">
        <v>7</v>
      </c>
      <c r="E778" s="34" t="s">
        <v>30</v>
      </c>
      <c r="F778" s="35">
        <v>43717</v>
      </c>
      <c r="G778" s="43">
        <v>159.97999999999999</v>
      </c>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10"/>
      <c r="AG778" s="5"/>
    </row>
    <row r="779" spans="2:33" x14ac:dyDescent="0.25">
      <c r="B779" s="36" t="s">
        <v>21</v>
      </c>
      <c r="C779" s="37" t="s">
        <v>25</v>
      </c>
      <c r="D779" s="37" t="s">
        <v>8</v>
      </c>
      <c r="E779" s="37" t="s">
        <v>30</v>
      </c>
      <c r="F779" s="38">
        <v>43717</v>
      </c>
      <c r="G779" s="44">
        <v>168.95</v>
      </c>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10"/>
      <c r="AG779" s="5"/>
    </row>
    <row r="780" spans="2:33" x14ac:dyDescent="0.25">
      <c r="B780" s="33" t="s">
        <v>14</v>
      </c>
      <c r="C780" s="34" t="s">
        <v>27</v>
      </c>
      <c r="D780" s="34" t="s">
        <v>7</v>
      </c>
      <c r="E780" s="34" t="s">
        <v>30</v>
      </c>
      <c r="F780" s="35">
        <v>43717</v>
      </c>
      <c r="G780" s="43">
        <v>4773.3</v>
      </c>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10"/>
      <c r="AG780" s="5"/>
    </row>
    <row r="781" spans="2:33" x14ac:dyDescent="0.25">
      <c r="B781" s="36" t="s">
        <v>10</v>
      </c>
      <c r="C781" s="37" t="s">
        <v>25</v>
      </c>
      <c r="D781" s="37" t="s">
        <v>8</v>
      </c>
      <c r="E781" s="37" t="s">
        <v>32</v>
      </c>
      <c r="F781" s="38">
        <v>43717</v>
      </c>
      <c r="G781" s="44">
        <v>1013.6999999999999</v>
      </c>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10"/>
      <c r="AG781" s="5"/>
    </row>
    <row r="782" spans="2:33" x14ac:dyDescent="0.25">
      <c r="B782" s="33" t="s">
        <v>17</v>
      </c>
      <c r="C782" s="34" t="s">
        <v>25</v>
      </c>
      <c r="D782" s="34" t="s">
        <v>9</v>
      </c>
      <c r="E782" s="34" t="s">
        <v>32</v>
      </c>
      <c r="F782" s="35">
        <v>43717</v>
      </c>
      <c r="G782" s="43">
        <v>2534.25</v>
      </c>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10"/>
      <c r="AG782" s="5"/>
    </row>
    <row r="783" spans="2:33" x14ac:dyDescent="0.25">
      <c r="B783" s="36" t="s">
        <v>17</v>
      </c>
      <c r="C783" s="37" t="s">
        <v>27</v>
      </c>
      <c r="D783" s="37" t="s">
        <v>9</v>
      </c>
      <c r="E783" s="37" t="s">
        <v>31</v>
      </c>
      <c r="F783" s="38">
        <v>43717</v>
      </c>
      <c r="G783" s="44">
        <v>2727.6</v>
      </c>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10"/>
      <c r="AG783" s="5"/>
    </row>
    <row r="784" spans="2:33" x14ac:dyDescent="0.25">
      <c r="B784" s="33" t="s">
        <v>10</v>
      </c>
      <c r="C784" s="34" t="s">
        <v>24</v>
      </c>
      <c r="D784" s="34" t="s">
        <v>8</v>
      </c>
      <c r="E784" s="34" t="s">
        <v>30</v>
      </c>
      <c r="F784" s="35">
        <v>43723</v>
      </c>
      <c r="G784" s="43">
        <v>559.92999999999995</v>
      </c>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10"/>
      <c r="AG784" s="5"/>
    </row>
    <row r="785" spans="2:33" x14ac:dyDescent="0.25">
      <c r="B785" s="36" t="s">
        <v>11</v>
      </c>
      <c r="C785" s="37" t="s">
        <v>27</v>
      </c>
      <c r="D785" s="37" t="s">
        <v>9</v>
      </c>
      <c r="E785" s="37" t="s">
        <v>31</v>
      </c>
      <c r="F785" s="38">
        <v>43723</v>
      </c>
      <c r="G785" s="44">
        <v>4432.3499999999995</v>
      </c>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10"/>
      <c r="AG785" s="5"/>
    </row>
    <row r="786" spans="2:33" x14ac:dyDescent="0.25">
      <c r="B786" s="33" t="s">
        <v>15</v>
      </c>
      <c r="C786" s="34" t="s">
        <v>24</v>
      </c>
      <c r="D786" s="34" t="s">
        <v>22</v>
      </c>
      <c r="E786" s="34" t="s">
        <v>31</v>
      </c>
      <c r="F786" s="35">
        <v>43723</v>
      </c>
      <c r="G786" s="43">
        <v>1199.8499999999999</v>
      </c>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10"/>
      <c r="AG786" s="5"/>
    </row>
    <row r="787" spans="2:33" x14ac:dyDescent="0.25">
      <c r="B787" s="36" t="s">
        <v>17</v>
      </c>
      <c r="C787" s="37" t="s">
        <v>24</v>
      </c>
      <c r="D787" s="37" t="s">
        <v>9</v>
      </c>
      <c r="E787" s="37" t="s">
        <v>29</v>
      </c>
      <c r="F787" s="38">
        <v>43725</v>
      </c>
      <c r="G787" s="44">
        <v>79.989999999999995</v>
      </c>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10"/>
      <c r="AG787" s="5"/>
    </row>
    <row r="788" spans="2:33" x14ac:dyDescent="0.25">
      <c r="B788" s="33" t="s">
        <v>14</v>
      </c>
      <c r="C788" s="34" t="s">
        <v>25</v>
      </c>
      <c r="D788" s="34" t="s">
        <v>7</v>
      </c>
      <c r="E788" s="34" t="s">
        <v>28</v>
      </c>
      <c r="F788" s="35">
        <v>43726</v>
      </c>
      <c r="G788" s="43">
        <v>3379</v>
      </c>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10"/>
      <c r="AG788" s="5"/>
    </row>
    <row r="789" spans="2:33" x14ac:dyDescent="0.25">
      <c r="B789" s="36" t="s">
        <v>14</v>
      </c>
      <c r="C789" s="37" t="s">
        <v>27</v>
      </c>
      <c r="D789" s="37" t="s">
        <v>7</v>
      </c>
      <c r="E789" s="37" t="s">
        <v>29</v>
      </c>
      <c r="F789" s="38">
        <v>43726</v>
      </c>
      <c r="G789" s="44">
        <v>4432.3499999999995</v>
      </c>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10"/>
      <c r="AG789" s="5"/>
    </row>
    <row r="790" spans="2:33" x14ac:dyDescent="0.25">
      <c r="B790" s="33" t="s">
        <v>20</v>
      </c>
      <c r="C790" s="34" t="s">
        <v>26</v>
      </c>
      <c r="D790" s="34" t="s">
        <v>7</v>
      </c>
      <c r="E790" s="34" t="s">
        <v>31</v>
      </c>
      <c r="F790" s="35">
        <v>43726</v>
      </c>
      <c r="G790" s="43">
        <v>7199.55</v>
      </c>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10"/>
      <c r="AG790" s="5"/>
    </row>
    <row r="791" spans="2:33" x14ac:dyDescent="0.25">
      <c r="B791" s="36" t="s">
        <v>18</v>
      </c>
      <c r="C791" s="37" t="s">
        <v>27</v>
      </c>
      <c r="D791" s="37" t="s">
        <v>22</v>
      </c>
      <c r="E791" s="37" t="s">
        <v>30</v>
      </c>
      <c r="F791" s="38">
        <v>43731</v>
      </c>
      <c r="G791" s="44">
        <v>2727.6</v>
      </c>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10"/>
      <c r="AG791" s="5"/>
    </row>
    <row r="792" spans="2:33" x14ac:dyDescent="0.25">
      <c r="B792" s="33" t="s">
        <v>21</v>
      </c>
      <c r="C792" s="34" t="s">
        <v>25</v>
      </c>
      <c r="D792" s="34" t="s">
        <v>8</v>
      </c>
      <c r="E792" s="34" t="s">
        <v>28</v>
      </c>
      <c r="F792" s="35">
        <v>43731</v>
      </c>
      <c r="G792" s="43">
        <v>3379</v>
      </c>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10"/>
      <c r="AG792" s="5"/>
    </row>
    <row r="793" spans="2:33" x14ac:dyDescent="0.25">
      <c r="B793" s="36" t="s">
        <v>21</v>
      </c>
      <c r="C793" s="37" t="s">
        <v>27</v>
      </c>
      <c r="D793" s="37" t="s">
        <v>8</v>
      </c>
      <c r="E793" s="37" t="s">
        <v>32</v>
      </c>
      <c r="F793" s="38">
        <v>43731</v>
      </c>
      <c r="G793" s="44">
        <v>2045.6999999999998</v>
      </c>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10"/>
      <c r="AG793" s="5"/>
    </row>
    <row r="794" spans="2:33" x14ac:dyDescent="0.25">
      <c r="B794" s="33" t="s">
        <v>18</v>
      </c>
      <c r="C794" s="34" t="s">
        <v>27</v>
      </c>
      <c r="D794" s="34" t="s">
        <v>22</v>
      </c>
      <c r="E794" s="34" t="s">
        <v>31</v>
      </c>
      <c r="F794" s="35">
        <v>43731</v>
      </c>
      <c r="G794" s="43">
        <v>2045.6999999999998</v>
      </c>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10"/>
      <c r="AG794" s="5"/>
    </row>
    <row r="795" spans="2:33" x14ac:dyDescent="0.25">
      <c r="B795" s="36" t="s">
        <v>19</v>
      </c>
      <c r="C795" s="37" t="s">
        <v>25</v>
      </c>
      <c r="D795" s="37" t="s">
        <v>22</v>
      </c>
      <c r="E795" s="37" t="s">
        <v>31</v>
      </c>
      <c r="F795" s="38">
        <v>43731</v>
      </c>
      <c r="G795" s="44">
        <v>1013.6999999999999</v>
      </c>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10"/>
      <c r="AG795" s="5"/>
    </row>
    <row r="796" spans="2:33" x14ac:dyDescent="0.25">
      <c r="B796" s="33" t="s">
        <v>17</v>
      </c>
      <c r="C796" s="34" t="s">
        <v>26</v>
      </c>
      <c r="D796" s="34" t="s">
        <v>9</v>
      </c>
      <c r="E796" s="34" t="s">
        <v>28</v>
      </c>
      <c r="F796" s="35">
        <v>43732</v>
      </c>
      <c r="G796" s="43">
        <v>15199.050000000001</v>
      </c>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10"/>
      <c r="AG796" s="5"/>
    </row>
    <row r="797" spans="2:33" x14ac:dyDescent="0.25">
      <c r="B797" s="36" t="s">
        <v>14</v>
      </c>
      <c r="C797" s="37" t="s">
        <v>27</v>
      </c>
      <c r="D797" s="37" t="s">
        <v>7</v>
      </c>
      <c r="E797" s="37" t="s">
        <v>31</v>
      </c>
      <c r="F797" s="38">
        <v>43732</v>
      </c>
      <c r="G797" s="44">
        <v>3409.5</v>
      </c>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10"/>
      <c r="AG797" s="5"/>
    </row>
    <row r="798" spans="2:33" x14ac:dyDescent="0.25">
      <c r="B798" s="33" t="s">
        <v>14</v>
      </c>
      <c r="C798" s="34" t="s">
        <v>25</v>
      </c>
      <c r="D798" s="34" t="s">
        <v>7</v>
      </c>
      <c r="E798" s="34" t="s">
        <v>30</v>
      </c>
      <c r="F798" s="35">
        <v>43733</v>
      </c>
      <c r="G798" s="43">
        <v>1013.6999999999999</v>
      </c>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10"/>
      <c r="AG798" s="5"/>
    </row>
    <row r="799" spans="2:33" x14ac:dyDescent="0.25">
      <c r="B799" s="36" t="s">
        <v>10</v>
      </c>
      <c r="C799" s="37" t="s">
        <v>24</v>
      </c>
      <c r="D799" s="37" t="s">
        <v>8</v>
      </c>
      <c r="E799" s="37" t="s">
        <v>31</v>
      </c>
      <c r="F799" s="38">
        <v>43734</v>
      </c>
      <c r="G799" s="44">
        <v>559.92999999999995</v>
      </c>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10"/>
      <c r="AG799" s="5"/>
    </row>
    <row r="800" spans="2:33" x14ac:dyDescent="0.25">
      <c r="B800" s="33" t="s">
        <v>10</v>
      </c>
      <c r="C800" s="34" t="s">
        <v>27</v>
      </c>
      <c r="D800" s="34" t="s">
        <v>8</v>
      </c>
      <c r="E800" s="34" t="s">
        <v>30</v>
      </c>
      <c r="F800" s="35">
        <v>43737</v>
      </c>
      <c r="G800" s="43">
        <v>4432.3499999999995</v>
      </c>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10"/>
      <c r="AG800" s="5"/>
    </row>
    <row r="801" spans="2:33" x14ac:dyDescent="0.25">
      <c r="B801" s="36" t="s">
        <v>11</v>
      </c>
      <c r="C801" s="37" t="s">
        <v>25</v>
      </c>
      <c r="D801" s="37" t="s">
        <v>9</v>
      </c>
      <c r="E801" s="37" t="s">
        <v>32</v>
      </c>
      <c r="F801" s="38">
        <v>43737</v>
      </c>
      <c r="G801" s="44">
        <v>1689.5</v>
      </c>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10"/>
      <c r="AG801" s="5"/>
    </row>
    <row r="802" spans="2:33" x14ac:dyDescent="0.25">
      <c r="B802" s="33" t="s">
        <v>19</v>
      </c>
      <c r="C802" s="34" t="s">
        <v>26</v>
      </c>
      <c r="D802" s="34" t="s">
        <v>22</v>
      </c>
      <c r="E802" s="34" t="s">
        <v>29</v>
      </c>
      <c r="F802" s="35">
        <v>43738</v>
      </c>
      <c r="G802" s="43">
        <v>11999.25</v>
      </c>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10"/>
      <c r="AG802" s="5"/>
    </row>
    <row r="803" spans="2:33" x14ac:dyDescent="0.25">
      <c r="B803" s="36" t="s">
        <v>12</v>
      </c>
      <c r="C803" s="37" t="s">
        <v>34</v>
      </c>
      <c r="D803" s="37" t="s">
        <v>22</v>
      </c>
      <c r="E803" s="37" t="s">
        <v>29</v>
      </c>
      <c r="F803" s="38">
        <v>43738</v>
      </c>
      <c r="G803" s="44">
        <v>1022.8499999999999</v>
      </c>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10"/>
      <c r="AG803" s="5"/>
    </row>
    <row r="804" spans="2:33" x14ac:dyDescent="0.25">
      <c r="B804" s="33" t="s">
        <v>19</v>
      </c>
      <c r="C804" s="34" t="s">
        <v>25</v>
      </c>
      <c r="D804" s="34" t="s">
        <v>22</v>
      </c>
      <c r="E804" s="34" t="s">
        <v>31</v>
      </c>
      <c r="F804" s="35">
        <v>43738</v>
      </c>
      <c r="G804" s="43">
        <v>1689.5</v>
      </c>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10"/>
      <c r="AG804" s="5"/>
    </row>
    <row r="805" spans="2:33" x14ac:dyDescent="0.25">
      <c r="B805" s="36" t="s">
        <v>15</v>
      </c>
      <c r="C805" s="37" t="s">
        <v>26</v>
      </c>
      <c r="D805" s="37" t="s">
        <v>22</v>
      </c>
      <c r="E805" s="37" t="s">
        <v>32</v>
      </c>
      <c r="F805" s="38">
        <v>43739</v>
      </c>
      <c r="G805" s="44">
        <v>8799.4500000000007</v>
      </c>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10"/>
      <c r="AG805" s="5"/>
    </row>
    <row r="806" spans="2:33" x14ac:dyDescent="0.25">
      <c r="B806" s="33" t="s">
        <v>21</v>
      </c>
      <c r="C806" s="34" t="s">
        <v>26</v>
      </c>
      <c r="D806" s="34" t="s">
        <v>8</v>
      </c>
      <c r="E806" s="34" t="s">
        <v>29</v>
      </c>
      <c r="F806" s="35">
        <v>43739</v>
      </c>
      <c r="G806" s="43">
        <v>3199.8</v>
      </c>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10"/>
      <c r="AG806" s="5"/>
    </row>
    <row r="807" spans="2:33" x14ac:dyDescent="0.25">
      <c r="B807" s="36" t="s">
        <v>19</v>
      </c>
      <c r="C807" s="37" t="s">
        <v>24</v>
      </c>
      <c r="D807" s="37" t="s">
        <v>22</v>
      </c>
      <c r="E807" s="37" t="s">
        <v>31</v>
      </c>
      <c r="F807" s="38">
        <v>43739</v>
      </c>
      <c r="G807" s="44">
        <v>879.89</v>
      </c>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10"/>
      <c r="AG807" s="5"/>
    </row>
    <row r="808" spans="2:33" x14ac:dyDescent="0.25">
      <c r="B808" s="33" t="s">
        <v>21</v>
      </c>
      <c r="C808" s="34" t="s">
        <v>27</v>
      </c>
      <c r="D808" s="34" t="s">
        <v>8</v>
      </c>
      <c r="E808" s="34" t="s">
        <v>29</v>
      </c>
      <c r="F808" s="35">
        <v>43740</v>
      </c>
      <c r="G808" s="43">
        <v>3068.5499999999997</v>
      </c>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10"/>
      <c r="AG808" s="5"/>
    </row>
    <row r="809" spans="2:33" x14ac:dyDescent="0.25">
      <c r="B809" s="36" t="s">
        <v>20</v>
      </c>
      <c r="C809" s="37" t="s">
        <v>26</v>
      </c>
      <c r="D809" s="37" t="s">
        <v>7</v>
      </c>
      <c r="E809" s="37" t="s">
        <v>30</v>
      </c>
      <c r="F809" s="38">
        <v>43741</v>
      </c>
      <c r="G809" s="44">
        <v>7199.55</v>
      </c>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10"/>
      <c r="AG809" s="5"/>
    </row>
    <row r="810" spans="2:33" x14ac:dyDescent="0.25">
      <c r="B810" s="33" t="s">
        <v>19</v>
      </c>
      <c r="C810" s="34" t="s">
        <v>24</v>
      </c>
      <c r="D810" s="34" t="s">
        <v>22</v>
      </c>
      <c r="E810" s="34" t="s">
        <v>28</v>
      </c>
      <c r="F810" s="35">
        <v>43741</v>
      </c>
      <c r="G810" s="43">
        <v>1519.81</v>
      </c>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10"/>
      <c r="AG810" s="5"/>
    </row>
    <row r="811" spans="2:33" x14ac:dyDescent="0.25">
      <c r="B811" s="36" t="s">
        <v>18</v>
      </c>
      <c r="C811" s="37" t="s">
        <v>26</v>
      </c>
      <c r="D811" s="37" t="s">
        <v>22</v>
      </c>
      <c r="E811" s="37" t="s">
        <v>28</v>
      </c>
      <c r="F811" s="38">
        <v>43744</v>
      </c>
      <c r="G811" s="44">
        <v>11199.300000000001</v>
      </c>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10"/>
      <c r="AG811" s="5"/>
    </row>
    <row r="812" spans="2:33" x14ac:dyDescent="0.25">
      <c r="B812" s="33" t="s">
        <v>18</v>
      </c>
      <c r="C812" s="34" t="s">
        <v>25</v>
      </c>
      <c r="D812" s="34" t="s">
        <v>22</v>
      </c>
      <c r="E812" s="34" t="s">
        <v>30</v>
      </c>
      <c r="F812" s="35">
        <v>43745</v>
      </c>
      <c r="G812" s="43">
        <v>168.95</v>
      </c>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10"/>
      <c r="AG812" s="5"/>
    </row>
    <row r="813" spans="2:33" x14ac:dyDescent="0.25">
      <c r="B813" s="36" t="s">
        <v>12</v>
      </c>
      <c r="C813" s="37" t="s">
        <v>25</v>
      </c>
      <c r="D813" s="37" t="s">
        <v>22</v>
      </c>
      <c r="E813" s="37" t="s">
        <v>30</v>
      </c>
      <c r="F813" s="38">
        <v>43745</v>
      </c>
      <c r="G813" s="44">
        <v>168.95</v>
      </c>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10"/>
      <c r="AG813" s="5"/>
    </row>
    <row r="814" spans="2:33" x14ac:dyDescent="0.25">
      <c r="B814" s="33" t="s">
        <v>20</v>
      </c>
      <c r="C814" s="34" t="s">
        <v>27</v>
      </c>
      <c r="D814" s="34" t="s">
        <v>7</v>
      </c>
      <c r="E814" s="34" t="s">
        <v>28</v>
      </c>
      <c r="F814" s="35">
        <v>43745</v>
      </c>
      <c r="G814" s="43">
        <v>4091.3999999999996</v>
      </c>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10"/>
      <c r="AG814" s="5"/>
    </row>
    <row r="815" spans="2:33" x14ac:dyDescent="0.25">
      <c r="B815" s="36" t="s">
        <v>19</v>
      </c>
      <c r="C815" s="37" t="s">
        <v>24</v>
      </c>
      <c r="D815" s="37" t="s">
        <v>22</v>
      </c>
      <c r="E815" s="37" t="s">
        <v>32</v>
      </c>
      <c r="F815" s="38">
        <v>43745</v>
      </c>
      <c r="G815" s="44">
        <v>1199.8499999999999</v>
      </c>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10"/>
      <c r="AG815" s="5"/>
    </row>
    <row r="816" spans="2:33" x14ac:dyDescent="0.25">
      <c r="B816" s="33" t="s">
        <v>21</v>
      </c>
      <c r="C816" s="34" t="s">
        <v>25</v>
      </c>
      <c r="D816" s="34" t="s">
        <v>8</v>
      </c>
      <c r="E816" s="34" t="s">
        <v>28</v>
      </c>
      <c r="F816" s="35">
        <v>43746</v>
      </c>
      <c r="G816" s="43">
        <v>1013.6999999999999</v>
      </c>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10"/>
      <c r="AG816" s="5"/>
    </row>
    <row r="817" spans="2:33" x14ac:dyDescent="0.25">
      <c r="B817" s="36" t="s">
        <v>11</v>
      </c>
      <c r="C817" s="37" t="s">
        <v>26</v>
      </c>
      <c r="D817" s="37" t="s">
        <v>9</v>
      </c>
      <c r="E817" s="37" t="s">
        <v>32</v>
      </c>
      <c r="F817" s="38">
        <v>43746</v>
      </c>
      <c r="G817" s="44">
        <v>11999.25</v>
      </c>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10"/>
      <c r="AG817" s="5"/>
    </row>
    <row r="818" spans="2:33" x14ac:dyDescent="0.25">
      <c r="B818" s="33" t="s">
        <v>11</v>
      </c>
      <c r="C818" s="34" t="s">
        <v>25</v>
      </c>
      <c r="D818" s="34" t="s">
        <v>9</v>
      </c>
      <c r="E818" s="34" t="s">
        <v>31</v>
      </c>
      <c r="F818" s="35">
        <v>43746</v>
      </c>
      <c r="G818" s="43">
        <v>2365.2999999999997</v>
      </c>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10"/>
      <c r="AG818" s="5"/>
    </row>
    <row r="819" spans="2:33" x14ac:dyDescent="0.25">
      <c r="B819" s="36" t="s">
        <v>11</v>
      </c>
      <c r="C819" s="37" t="s">
        <v>27</v>
      </c>
      <c r="D819" s="37" t="s">
        <v>9</v>
      </c>
      <c r="E819" s="37" t="s">
        <v>31</v>
      </c>
      <c r="F819" s="38">
        <v>43746</v>
      </c>
      <c r="G819" s="44">
        <v>340.95</v>
      </c>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10"/>
      <c r="AG819" s="5"/>
    </row>
    <row r="820" spans="2:33" x14ac:dyDescent="0.25">
      <c r="B820" s="33" t="s">
        <v>10</v>
      </c>
      <c r="C820" s="34" t="s">
        <v>25</v>
      </c>
      <c r="D820" s="34" t="s">
        <v>8</v>
      </c>
      <c r="E820" s="34" t="s">
        <v>31</v>
      </c>
      <c r="F820" s="35">
        <v>43747</v>
      </c>
      <c r="G820" s="43">
        <v>2027.3999999999999</v>
      </c>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10"/>
      <c r="AG820" s="5"/>
    </row>
    <row r="821" spans="2:33" x14ac:dyDescent="0.25">
      <c r="B821" s="36" t="s">
        <v>14</v>
      </c>
      <c r="C821" s="37" t="s">
        <v>25</v>
      </c>
      <c r="D821" s="37" t="s">
        <v>7</v>
      </c>
      <c r="E821" s="37" t="s">
        <v>28</v>
      </c>
      <c r="F821" s="38">
        <v>43748</v>
      </c>
      <c r="G821" s="44">
        <v>1351.6</v>
      </c>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10"/>
      <c r="AG821" s="5"/>
    </row>
    <row r="822" spans="2:33" x14ac:dyDescent="0.25">
      <c r="B822" s="33" t="s">
        <v>10</v>
      </c>
      <c r="C822" s="34" t="s">
        <v>25</v>
      </c>
      <c r="D822" s="34" t="s">
        <v>8</v>
      </c>
      <c r="E822" s="34" t="s">
        <v>30</v>
      </c>
      <c r="F822" s="35">
        <v>43749</v>
      </c>
      <c r="G822" s="43">
        <v>1689.5</v>
      </c>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10"/>
      <c r="AG822" s="5"/>
    </row>
    <row r="823" spans="2:33" x14ac:dyDescent="0.25">
      <c r="B823" s="36" t="s">
        <v>10</v>
      </c>
      <c r="C823" s="37" t="s">
        <v>34</v>
      </c>
      <c r="D823" s="37" t="s">
        <v>8</v>
      </c>
      <c r="E823" s="37" t="s">
        <v>30</v>
      </c>
      <c r="F823" s="38">
        <v>43751</v>
      </c>
      <c r="G823" s="44">
        <v>1363.8</v>
      </c>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10"/>
      <c r="AG823" s="5"/>
    </row>
    <row r="824" spans="2:33" x14ac:dyDescent="0.25">
      <c r="B824" s="33" t="s">
        <v>15</v>
      </c>
      <c r="C824" s="34" t="s">
        <v>27</v>
      </c>
      <c r="D824" s="34" t="s">
        <v>22</v>
      </c>
      <c r="E824" s="34" t="s">
        <v>31</v>
      </c>
      <c r="F824" s="35">
        <v>43751</v>
      </c>
      <c r="G824" s="43">
        <v>340.95</v>
      </c>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10"/>
      <c r="AG824" s="5"/>
    </row>
    <row r="825" spans="2:33" x14ac:dyDescent="0.25">
      <c r="B825" s="36" t="s">
        <v>14</v>
      </c>
      <c r="C825" s="37" t="s">
        <v>26</v>
      </c>
      <c r="D825" s="37" t="s">
        <v>7</v>
      </c>
      <c r="E825" s="37" t="s">
        <v>32</v>
      </c>
      <c r="F825" s="38">
        <v>43752</v>
      </c>
      <c r="G825" s="44">
        <v>2399.8500000000004</v>
      </c>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10"/>
      <c r="AG825" s="5"/>
    </row>
    <row r="826" spans="2:33" x14ac:dyDescent="0.25">
      <c r="B826" s="33" t="s">
        <v>12</v>
      </c>
      <c r="C826" s="34" t="s">
        <v>34</v>
      </c>
      <c r="D826" s="34" t="s">
        <v>22</v>
      </c>
      <c r="E826" s="34" t="s">
        <v>32</v>
      </c>
      <c r="F826" s="35">
        <v>43756</v>
      </c>
      <c r="G826" s="43">
        <v>2727.6</v>
      </c>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10"/>
      <c r="AG826" s="5"/>
    </row>
    <row r="827" spans="2:33" x14ac:dyDescent="0.25">
      <c r="B827" s="36" t="s">
        <v>20</v>
      </c>
      <c r="C827" s="37" t="s">
        <v>26</v>
      </c>
      <c r="D827" s="37" t="s">
        <v>7</v>
      </c>
      <c r="E827" s="37" t="s">
        <v>28</v>
      </c>
      <c r="F827" s="38">
        <v>43758</v>
      </c>
      <c r="G827" s="44">
        <v>8799.4500000000007</v>
      </c>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10"/>
      <c r="AG827" s="5"/>
    </row>
    <row r="828" spans="2:33" x14ac:dyDescent="0.25">
      <c r="B828" s="33" t="s">
        <v>11</v>
      </c>
      <c r="C828" s="34" t="s">
        <v>27</v>
      </c>
      <c r="D828" s="34" t="s">
        <v>9</v>
      </c>
      <c r="E828" s="34" t="s">
        <v>30</v>
      </c>
      <c r="F828" s="35">
        <v>43762</v>
      </c>
      <c r="G828" s="43">
        <v>2045.6999999999998</v>
      </c>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10"/>
      <c r="AG828" s="5"/>
    </row>
    <row r="829" spans="2:33" x14ac:dyDescent="0.25">
      <c r="B829" s="36" t="s">
        <v>11</v>
      </c>
      <c r="C829" s="37" t="s">
        <v>34</v>
      </c>
      <c r="D829" s="37" t="s">
        <v>9</v>
      </c>
      <c r="E829" s="37" t="s">
        <v>29</v>
      </c>
      <c r="F829" s="38">
        <v>43762</v>
      </c>
      <c r="G829" s="44">
        <v>340.95</v>
      </c>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10"/>
      <c r="AG829" s="5"/>
    </row>
    <row r="830" spans="2:33" x14ac:dyDescent="0.25">
      <c r="B830" s="33" t="s">
        <v>21</v>
      </c>
      <c r="C830" s="34" t="s">
        <v>27</v>
      </c>
      <c r="D830" s="34" t="s">
        <v>8</v>
      </c>
      <c r="E830" s="34" t="s">
        <v>28</v>
      </c>
      <c r="F830" s="35">
        <v>43763</v>
      </c>
      <c r="G830" s="43">
        <v>6137.0999999999995</v>
      </c>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10"/>
      <c r="AG830" s="5"/>
    </row>
    <row r="831" spans="2:33" x14ac:dyDescent="0.25">
      <c r="B831" s="36" t="s">
        <v>10</v>
      </c>
      <c r="C831" s="37" t="s">
        <v>25</v>
      </c>
      <c r="D831" s="37" t="s">
        <v>8</v>
      </c>
      <c r="E831" s="37" t="s">
        <v>29</v>
      </c>
      <c r="F831" s="38">
        <v>43763</v>
      </c>
      <c r="G831" s="44">
        <v>168.95</v>
      </c>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10"/>
      <c r="AG831" s="5"/>
    </row>
    <row r="832" spans="2:33" x14ac:dyDescent="0.25">
      <c r="B832" s="33" t="s">
        <v>14</v>
      </c>
      <c r="C832" s="34" t="s">
        <v>27</v>
      </c>
      <c r="D832" s="34" t="s">
        <v>7</v>
      </c>
      <c r="E832" s="34" t="s">
        <v>28</v>
      </c>
      <c r="F832" s="35">
        <v>43765</v>
      </c>
      <c r="G832" s="43">
        <v>5455.2</v>
      </c>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10"/>
      <c r="AG832" s="5"/>
    </row>
    <row r="833" spans="2:33" x14ac:dyDescent="0.25">
      <c r="B833" s="36" t="s">
        <v>11</v>
      </c>
      <c r="C833" s="37" t="s">
        <v>25</v>
      </c>
      <c r="D833" s="37" t="s">
        <v>9</v>
      </c>
      <c r="E833" s="37" t="s">
        <v>28</v>
      </c>
      <c r="F833" s="38">
        <v>43766</v>
      </c>
      <c r="G833" s="44">
        <v>3041.1</v>
      </c>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10"/>
      <c r="AG833" s="5"/>
    </row>
    <row r="834" spans="2:33" x14ac:dyDescent="0.25">
      <c r="B834" s="33" t="s">
        <v>21</v>
      </c>
      <c r="C834" s="34" t="s">
        <v>24</v>
      </c>
      <c r="D834" s="34" t="s">
        <v>8</v>
      </c>
      <c r="E834" s="34" t="s">
        <v>32</v>
      </c>
      <c r="F834" s="35">
        <v>43766</v>
      </c>
      <c r="G834" s="43">
        <v>639.91999999999996</v>
      </c>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10"/>
      <c r="AG834" s="5"/>
    </row>
    <row r="835" spans="2:33" x14ac:dyDescent="0.25">
      <c r="B835" s="36" t="s">
        <v>11</v>
      </c>
      <c r="C835" s="37" t="s">
        <v>26</v>
      </c>
      <c r="D835" s="37" t="s">
        <v>9</v>
      </c>
      <c r="E835" s="37" t="s">
        <v>29</v>
      </c>
      <c r="F835" s="38">
        <v>43766</v>
      </c>
      <c r="G835" s="44">
        <v>10399.35</v>
      </c>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10"/>
      <c r="AG835" s="5"/>
    </row>
    <row r="836" spans="2:33" x14ac:dyDescent="0.25">
      <c r="B836" s="33" t="s">
        <v>14</v>
      </c>
      <c r="C836" s="34" t="s">
        <v>26</v>
      </c>
      <c r="D836" s="34" t="s">
        <v>7</v>
      </c>
      <c r="E836" s="34" t="s">
        <v>29</v>
      </c>
      <c r="F836" s="35">
        <v>43766</v>
      </c>
      <c r="G836" s="43">
        <v>3999.75</v>
      </c>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10"/>
      <c r="AG836" s="5"/>
    </row>
    <row r="837" spans="2:33" x14ac:dyDescent="0.25">
      <c r="B837" s="36" t="s">
        <v>12</v>
      </c>
      <c r="C837" s="37" t="s">
        <v>25</v>
      </c>
      <c r="D837" s="37" t="s">
        <v>22</v>
      </c>
      <c r="E837" s="37" t="s">
        <v>30</v>
      </c>
      <c r="F837" s="38">
        <v>43769</v>
      </c>
      <c r="G837" s="44">
        <v>337.9</v>
      </c>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10"/>
      <c r="AG837" s="5"/>
    </row>
    <row r="838" spans="2:33" x14ac:dyDescent="0.25">
      <c r="B838" s="33" t="s">
        <v>20</v>
      </c>
      <c r="C838" s="34" t="s">
        <v>25</v>
      </c>
      <c r="D838" s="34" t="s">
        <v>7</v>
      </c>
      <c r="E838" s="34" t="s">
        <v>29</v>
      </c>
      <c r="F838" s="35">
        <v>43770</v>
      </c>
      <c r="G838" s="43">
        <v>2196.35</v>
      </c>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10"/>
      <c r="AG838" s="5"/>
    </row>
    <row r="839" spans="2:33" x14ac:dyDescent="0.25">
      <c r="B839" s="36" t="s">
        <v>12</v>
      </c>
      <c r="C839" s="37" t="s">
        <v>26</v>
      </c>
      <c r="D839" s="37" t="s">
        <v>22</v>
      </c>
      <c r="E839" s="37" t="s">
        <v>28</v>
      </c>
      <c r="F839" s="38">
        <v>43772</v>
      </c>
      <c r="G839" s="44">
        <v>6399.6</v>
      </c>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10"/>
      <c r="AG839" s="5"/>
    </row>
    <row r="840" spans="2:33" x14ac:dyDescent="0.25">
      <c r="B840" s="33" t="s">
        <v>15</v>
      </c>
      <c r="C840" s="34" t="s">
        <v>26</v>
      </c>
      <c r="D840" s="34" t="s">
        <v>22</v>
      </c>
      <c r="E840" s="34" t="s">
        <v>30</v>
      </c>
      <c r="F840" s="35">
        <v>43773</v>
      </c>
      <c r="G840" s="43">
        <v>5599.6500000000005</v>
      </c>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10"/>
      <c r="AG840" s="5"/>
    </row>
    <row r="841" spans="2:33" x14ac:dyDescent="0.25">
      <c r="B841" s="36" t="s">
        <v>11</v>
      </c>
      <c r="C841" s="37" t="s">
        <v>34</v>
      </c>
      <c r="D841" s="37" t="s">
        <v>9</v>
      </c>
      <c r="E841" s="37" t="s">
        <v>29</v>
      </c>
      <c r="F841" s="38">
        <v>43773</v>
      </c>
      <c r="G841" s="44">
        <v>3750.45</v>
      </c>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10"/>
      <c r="AG841" s="5"/>
    </row>
    <row r="842" spans="2:33" x14ac:dyDescent="0.25">
      <c r="B842" s="33" t="s">
        <v>19</v>
      </c>
      <c r="C842" s="34" t="s">
        <v>27</v>
      </c>
      <c r="D842" s="34" t="s">
        <v>22</v>
      </c>
      <c r="E842" s="34" t="s">
        <v>31</v>
      </c>
      <c r="F842" s="35">
        <v>43773</v>
      </c>
      <c r="G842" s="43">
        <v>3750.45</v>
      </c>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10"/>
      <c r="AG842" s="5"/>
    </row>
    <row r="843" spans="2:33" x14ac:dyDescent="0.25">
      <c r="B843" s="36" t="s">
        <v>15</v>
      </c>
      <c r="C843" s="37" t="s">
        <v>26</v>
      </c>
      <c r="D843" s="37" t="s">
        <v>22</v>
      </c>
      <c r="E843" s="37" t="s">
        <v>30</v>
      </c>
      <c r="F843" s="38">
        <v>43774</v>
      </c>
      <c r="G843" s="44">
        <v>10399.35</v>
      </c>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10"/>
      <c r="AG843" s="5"/>
    </row>
    <row r="844" spans="2:33" x14ac:dyDescent="0.25">
      <c r="B844" s="33" t="s">
        <v>12</v>
      </c>
      <c r="C844" s="34" t="s">
        <v>24</v>
      </c>
      <c r="D844" s="34" t="s">
        <v>22</v>
      </c>
      <c r="E844" s="34" t="s">
        <v>30</v>
      </c>
      <c r="F844" s="35">
        <v>43774</v>
      </c>
      <c r="G844" s="43">
        <v>79.989999999999995</v>
      </c>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10"/>
      <c r="AG844" s="5"/>
    </row>
    <row r="845" spans="2:33" x14ac:dyDescent="0.25">
      <c r="B845" s="36" t="s">
        <v>10</v>
      </c>
      <c r="C845" s="37" t="s">
        <v>27</v>
      </c>
      <c r="D845" s="37" t="s">
        <v>8</v>
      </c>
      <c r="E845" s="37" t="s">
        <v>29</v>
      </c>
      <c r="F845" s="38">
        <v>43774</v>
      </c>
      <c r="G845" s="44">
        <v>2727.6</v>
      </c>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10"/>
      <c r="AG845" s="5"/>
    </row>
    <row r="846" spans="2:33" x14ac:dyDescent="0.25">
      <c r="B846" s="33" t="s">
        <v>14</v>
      </c>
      <c r="C846" s="34" t="s">
        <v>26</v>
      </c>
      <c r="D846" s="34" t="s">
        <v>7</v>
      </c>
      <c r="E846" s="34" t="s">
        <v>30</v>
      </c>
      <c r="F846" s="35">
        <v>43775</v>
      </c>
      <c r="G846" s="43">
        <v>1599.9</v>
      </c>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10"/>
      <c r="AG846" s="5"/>
    </row>
    <row r="847" spans="2:33" x14ac:dyDescent="0.25">
      <c r="B847" s="36" t="s">
        <v>11</v>
      </c>
      <c r="C847" s="37" t="s">
        <v>34</v>
      </c>
      <c r="D847" s="37" t="s">
        <v>9</v>
      </c>
      <c r="E847" s="37" t="s">
        <v>28</v>
      </c>
      <c r="F847" s="38">
        <v>43775</v>
      </c>
      <c r="G847" s="44">
        <v>5796.15</v>
      </c>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10"/>
      <c r="AG847" s="5"/>
    </row>
    <row r="848" spans="2:33" x14ac:dyDescent="0.25">
      <c r="B848" s="33" t="s">
        <v>14</v>
      </c>
      <c r="C848" s="34" t="s">
        <v>25</v>
      </c>
      <c r="D848" s="34" t="s">
        <v>7</v>
      </c>
      <c r="E848" s="34" t="s">
        <v>32</v>
      </c>
      <c r="F848" s="35">
        <v>43775</v>
      </c>
      <c r="G848" s="43">
        <v>1182.6499999999999</v>
      </c>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10"/>
      <c r="AG848" s="5"/>
    </row>
    <row r="849" spans="2:33" x14ac:dyDescent="0.25">
      <c r="B849" s="36" t="s">
        <v>11</v>
      </c>
      <c r="C849" s="37" t="s">
        <v>34</v>
      </c>
      <c r="D849" s="37" t="s">
        <v>9</v>
      </c>
      <c r="E849" s="37" t="s">
        <v>32</v>
      </c>
      <c r="F849" s="38">
        <v>43776</v>
      </c>
      <c r="G849" s="44">
        <v>2045.6999999999998</v>
      </c>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10"/>
      <c r="AG849" s="5"/>
    </row>
    <row r="850" spans="2:33" x14ac:dyDescent="0.25">
      <c r="B850" s="33" t="s">
        <v>14</v>
      </c>
      <c r="C850" s="34" t="s">
        <v>25</v>
      </c>
      <c r="D850" s="34" t="s">
        <v>7</v>
      </c>
      <c r="E850" s="34" t="s">
        <v>28</v>
      </c>
      <c r="F850" s="35">
        <v>43777</v>
      </c>
      <c r="G850" s="43">
        <v>1520.55</v>
      </c>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10"/>
      <c r="AG850" s="5"/>
    </row>
    <row r="851" spans="2:33" x14ac:dyDescent="0.25">
      <c r="B851" s="36" t="s">
        <v>15</v>
      </c>
      <c r="C851" s="37" t="s">
        <v>25</v>
      </c>
      <c r="D851" s="37" t="s">
        <v>22</v>
      </c>
      <c r="E851" s="37" t="s">
        <v>31</v>
      </c>
      <c r="F851" s="38">
        <v>43777</v>
      </c>
      <c r="G851" s="44">
        <v>1520.55</v>
      </c>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10"/>
      <c r="AG851" s="5"/>
    </row>
    <row r="852" spans="2:33" x14ac:dyDescent="0.25">
      <c r="B852" s="33" t="s">
        <v>11</v>
      </c>
      <c r="C852" s="34" t="s">
        <v>34</v>
      </c>
      <c r="D852" s="34" t="s">
        <v>9</v>
      </c>
      <c r="E852" s="34" t="s">
        <v>32</v>
      </c>
      <c r="F852" s="35">
        <v>43780</v>
      </c>
      <c r="G852" s="43">
        <v>3409.5</v>
      </c>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10"/>
      <c r="AG852" s="5"/>
    </row>
    <row r="853" spans="2:33" x14ac:dyDescent="0.25">
      <c r="B853" s="36" t="s">
        <v>17</v>
      </c>
      <c r="C853" s="37" t="s">
        <v>24</v>
      </c>
      <c r="D853" s="37" t="s">
        <v>9</v>
      </c>
      <c r="E853" s="37" t="s">
        <v>32</v>
      </c>
      <c r="F853" s="38">
        <v>43780</v>
      </c>
      <c r="G853" s="44">
        <v>79.989999999999995</v>
      </c>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10"/>
      <c r="AG853" s="5"/>
    </row>
    <row r="854" spans="2:33" x14ac:dyDescent="0.25">
      <c r="B854" s="33" t="s">
        <v>20</v>
      </c>
      <c r="C854" s="34" t="s">
        <v>25</v>
      </c>
      <c r="D854" s="34" t="s">
        <v>7</v>
      </c>
      <c r="E854" s="34" t="s">
        <v>29</v>
      </c>
      <c r="F854" s="35">
        <v>43780</v>
      </c>
      <c r="G854" s="43">
        <v>2196.35</v>
      </c>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10"/>
      <c r="AG854" s="5"/>
    </row>
    <row r="855" spans="2:33" x14ac:dyDescent="0.25">
      <c r="B855" s="36" t="s">
        <v>10</v>
      </c>
      <c r="C855" s="37" t="s">
        <v>26</v>
      </c>
      <c r="D855" s="37" t="s">
        <v>8</v>
      </c>
      <c r="E855" s="37" t="s">
        <v>32</v>
      </c>
      <c r="F855" s="38">
        <v>43781</v>
      </c>
      <c r="G855" s="44">
        <v>799.95</v>
      </c>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10"/>
      <c r="AG855" s="5"/>
    </row>
    <row r="856" spans="2:33" x14ac:dyDescent="0.25">
      <c r="B856" s="33" t="s">
        <v>17</v>
      </c>
      <c r="C856" s="34" t="s">
        <v>26</v>
      </c>
      <c r="D856" s="34" t="s">
        <v>9</v>
      </c>
      <c r="E856" s="34" t="s">
        <v>30</v>
      </c>
      <c r="F856" s="35">
        <v>43782</v>
      </c>
      <c r="G856" s="43">
        <v>5599.6500000000005</v>
      </c>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10"/>
      <c r="AG856" s="5"/>
    </row>
    <row r="857" spans="2:33" x14ac:dyDescent="0.25">
      <c r="B857" s="36" t="s">
        <v>17</v>
      </c>
      <c r="C857" s="37" t="s">
        <v>27</v>
      </c>
      <c r="D857" s="37" t="s">
        <v>9</v>
      </c>
      <c r="E857" s="37" t="s">
        <v>30</v>
      </c>
      <c r="F857" s="38">
        <v>43783</v>
      </c>
      <c r="G857" s="44">
        <v>3409.5</v>
      </c>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10"/>
      <c r="AG857" s="5"/>
    </row>
    <row r="858" spans="2:33" x14ac:dyDescent="0.25">
      <c r="B858" s="33" t="s">
        <v>14</v>
      </c>
      <c r="C858" s="34" t="s">
        <v>25</v>
      </c>
      <c r="D858" s="34" t="s">
        <v>7</v>
      </c>
      <c r="E858" s="34" t="s">
        <v>32</v>
      </c>
      <c r="F858" s="35">
        <v>43783</v>
      </c>
      <c r="G858" s="43">
        <v>1013.6999999999999</v>
      </c>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10"/>
      <c r="AG858" s="5"/>
    </row>
    <row r="859" spans="2:33" x14ac:dyDescent="0.25">
      <c r="B859" s="36" t="s">
        <v>10</v>
      </c>
      <c r="C859" s="37" t="s">
        <v>27</v>
      </c>
      <c r="D859" s="37" t="s">
        <v>8</v>
      </c>
      <c r="E859" s="37" t="s">
        <v>30</v>
      </c>
      <c r="F859" s="38">
        <v>43784</v>
      </c>
      <c r="G859" s="44">
        <v>681.9</v>
      </c>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10"/>
      <c r="AG859" s="5"/>
    </row>
    <row r="860" spans="2:33" x14ac:dyDescent="0.25">
      <c r="B860" s="33" t="s">
        <v>17</v>
      </c>
      <c r="C860" s="34" t="s">
        <v>34</v>
      </c>
      <c r="D860" s="34" t="s">
        <v>9</v>
      </c>
      <c r="E860" s="34" t="s">
        <v>32</v>
      </c>
      <c r="F860" s="35">
        <v>43784</v>
      </c>
      <c r="G860" s="43">
        <v>4432.3499999999995</v>
      </c>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10"/>
      <c r="AG860" s="5"/>
    </row>
    <row r="861" spans="2:33" x14ac:dyDescent="0.25">
      <c r="B861" s="36" t="s">
        <v>10</v>
      </c>
      <c r="C861" s="37" t="s">
        <v>27</v>
      </c>
      <c r="D861" s="37" t="s">
        <v>8</v>
      </c>
      <c r="E861" s="37" t="s">
        <v>31</v>
      </c>
      <c r="F861" s="38">
        <v>43787</v>
      </c>
      <c r="G861" s="44">
        <v>1022.8499999999999</v>
      </c>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10"/>
      <c r="AG861" s="5"/>
    </row>
    <row r="862" spans="2:33" x14ac:dyDescent="0.25">
      <c r="B862" s="33" t="s">
        <v>17</v>
      </c>
      <c r="C862" s="34" t="s">
        <v>25</v>
      </c>
      <c r="D862" s="34" t="s">
        <v>9</v>
      </c>
      <c r="E862" s="34" t="s">
        <v>31</v>
      </c>
      <c r="F862" s="35">
        <v>43787</v>
      </c>
      <c r="G862" s="43">
        <v>1351.6</v>
      </c>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10"/>
      <c r="AG862" s="5"/>
    </row>
    <row r="863" spans="2:33" x14ac:dyDescent="0.25">
      <c r="B863" s="36" t="s">
        <v>15</v>
      </c>
      <c r="C863" s="37" t="s">
        <v>26</v>
      </c>
      <c r="D863" s="37" t="s">
        <v>22</v>
      </c>
      <c r="E863" s="37" t="s">
        <v>28</v>
      </c>
      <c r="F863" s="38">
        <v>43788</v>
      </c>
      <c r="G863" s="44">
        <v>15199.050000000001</v>
      </c>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10"/>
      <c r="AG863" s="5"/>
    </row>
    <row r="864" spans="2:33" x14ac:dyDescent="0.25">
      <c r="B864" s="33" t="s">
        <v>12</v>
      </c>
      <c r="C864" s="34" t="s">
        <v>24</v>
      </c>
      <c r="D864" s="34" t="s">
        <v>22</v>
      </c>
      <c r="E864" s="34" t="s">
        <v>32</v>
      </c>
      <c r="F864" s="35">
        <v>43788</v>
      </c>
      <c r="G864" s="43">
        <v>959.87999999999988</v>
      </c>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10"/>
      <c r="AG864" s="5"/>
    </row>
    <row r="865" spans="2:33" x14ac:dyDescent="0.25">
      <c r="B865" s="36" t="s">
        <v>17</v>
      </c>
      <c r="C865" s="37" t="s">
        <v>26</v>
      </c>
      <c r="D865" s="37" t="s">
        <v>9</v>
      </c>
      <c r="E865" s="37" t="s">
        <v>31</v>
      </c>
      <c r="F865" s="38">
        <v>43788</v>
      </c>
      <c r="G865" s="44">
        <v>2399.8500000000004</v>
      </c>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10"/>
      <c r="AG865" s="5"/>
    </row>
    <row r="866" spans="2:33" x14ac:dyDescent="0.25">
      <c r="B866" s="33" t="s">
        <v>15</v>
      </c>
      <c r="C866" s="34" t="s">
        <v>25</v>
      </c>
      <c r="D866" s="34" t="s">
        <v>22</v>
      </c>
      <c r="E866" s="34" t="s">
        <v>29</v>
      </c>
      <c r="F866" s="35">
        <v>43789</v>
      </c>
      <c r="G866" s="43">
        <v>506.84999999999997</v>
      </c>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10"/>
      <c r="AG866" s="5"/>
    </row>
    <row r="867" spans="2:33" x14ac:dyDescent="0.25">
      <c r="B867" s="36" t="s">
        <v>11</v>
      </c>
      <c r="C867" s="37" t="s">
        <v>25</v>
      </c>
      <c r="D867" s="37" t="s">
        <v>9</v>
      </c>
      <c r="E867" s="37" t="s">
        <v>31</v>
      </c>
      <c r="F867" s="38">
        <v>43790</v>
      </c>
      <c r="G867" s="44">
        <v>506.84999999999997</v>
      </c>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10"/>
      <c r="AG867" s="5"/>
    </row>
    <row r="868" spans="2:33" x14ac:dyDescent="0.25">
      <c r="B868" s="33" t="s">
        <v>20</v>
      </c>
      <c r="C868" s="34" t="s">
        <v>34</v>
      </c>
      <c r="D868" s="34" t="s">
        <v>8</v>
      </c>
      <c r="E868" s="34" t="s">
        <v>29</v>
      </c>
      <c r="F868" s="35">
        <v>43791</v>
      </c>
      <c r="G868" s="43">
        <v>2386.65</v>
      </c>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10"/>
      <c r="AG868" s="5"/>
    </row>
    <row r="869" spans="2:33" x14ac:dyDescent="0.25">
      <c r="B869" s="36" t="s">
        <v>14</v>
      </c>
      <c r="C869" s="37" t="s">
        <v>26</v>
      </c>
      <c r="D869" s="37" t="s">
        <v>7</v>
      </c>
      <c r="E869" s="37" t="s">
        <v>30</v>
      </c>
      <c r="F869" s="38">
        <v>43793</v>
      </c>
      <c r="G869" s="44">
        <v>7999.5</v>
      </c>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10"/>
      <c r="AG869" s="5"/>
    </row>
    <row r="870" spans="2:33" x14ac:dyDescent="0.25">
      <c r="B870" s="33" t="s">
        <v>19</v>
      </c>
      <c r="C870" s="34" t="s">
        <v>26</v>
      </c>
      <c r="D870" s="34" t="s">
        <v>22</v>
      </c>
      <c r="E870" s="34" t="s">
        <v>29</v>
      </c>
      <c r="F870" s="35">
        <v>43793</v>
      </c>
      <c r="G870" s="43">
        <v>799.95</v>
      </c>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10"/>
      <c r="AG870" s="5"/>
    </row>
    <row r="871" spans="2:33" x14ac:dyDescent="0.25">
      <c r="B871" s="36" t="s">
        <v>12</v>
      </c>
      <c r="C871" s="37" t="s">
        <v>27</v>
      </c>
      <c r="D871" s="37" t="s">
        <v>22</v>
      </c>
      <c r="E871" s="37" t="s">
        <v>29</v>
      </c>
      <c r="F871" s="38">
        <v>43793</v>
      </c>
      <c r="G871" s="44">
        <v>2727.6</v>
      </c>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10"/>
      <c r="AG871" s="5"/>
    </row>
    <row r="872" spans="2:33" x14ac:dyDescent="0.25">
      <c r="B872" s="33" t="s">
        <v>14</v>
      </c>
      <c r="C872" s="34" t="s">
        <v>26</v>
      </c>
      <c r="D872" s="34" t="s">
        <v>7</v>
      </c>
      <c r="E872" s="34" t="s">
        <v>32</v>
      </c>
      <c r="F872" s="35">
        <v>43794</v>
      </c>
      <c r="G872" s="43">
        <v>7999.5</v>
      </c>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10"/>
      <c r="AG872" s="5"/>
    </row>
    <row r="873" spans="2:33" x14ac:dyDescent="0.25">
      <c r="B873" s="36" t="s">
        <v>11</v>
      </c>
      <c r="C873" s="37" t="s">
        <v>34</v>
      </c>
      <c r="D873" s="37" t="s">
        <v>9</v>
      </c>
      <c r="E873" s="37" t="s">
        <v>31</v>
      </c>
      <c r="F873" s="38">
        <v>43794</v>
      </c>
      <c r="G873" s="44">
        <v>3409.5</v>
      </c>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10"/>
      <c r="AG873" s="5"/>
    </row>
    <row r="874" spans="2:33" x14ac:dyDescent="0.25">
      <c r="B874" s="33" t="s">
        <v>14</v>
      </c>
      <c r="C874" s="34" t="s">
        <v>27</v>
      </c>
      <c r="D874" s="34" t="s">
        <v>7</v>
      </c>
      <c r="E874" s="34" t="s">
        <v>31</v>
      </c>
      <c r="F874" s="35">
        <v>43794</v>
      </c>
      <c r="G874" s="43">
        <v>3409.5</v>
      </c>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10"/>
      <c r="AG874" s="5"/>
    </row>
    <row r="875" spans="2:33" x14ac:dyDescent="0.25">
      <c r="B875" s="36" t="s">
        <v>14</v>
      </c>
      <c r="C875" s="37" t="s">
        <v>26</v>
      </c>
      <c r="D875" s="37" t="s">
        <v>7</v>
      </c>
      <c r="E875" s="37" t="s">
        <v>32</v>
      </c>
      <c r="F875" s="38">
        <v>43795</v>
      </c>
      <c r="G875" s="44">
        <v>4799.7000000000007</v>
      </c>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10"/>
      <c r="AG875" s="5"/>
    </row>
    <row r="876" spans="2:33" x14ac:dyDescent="0.25">
      <c r="B876" s="33" t="s">
        <v>14</v>
      </c>
      <c r="C876" s="34" t="s">
        <v>25</v>
      </c>
      <c r="D876" s="34" t="s">
        <v>7</v>
      </c>
      <c r="E876" s="34" t="s">
        <v>32</v>
      </c>
      <c r="F876" s="35">
        <v>43795</v>
      </c>
      <c r="G876" s="43">
        <v>168.95</v>
      </c>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10"/>
      <c r="AG876" s="5"/>
    </row>
    <row r="877" spans="2:33" x14ac:dyDescent="0.25">
      <c r="B877" s="36" t="s">
        <v>17</v>
      </c>
      <c r="C877" s="37" t="s">
        <v>26</v>
      </c>
      <c r="D877" s="37" t="s">
        <v>9</v>
      </c>
      <c r="E877" s="37" t="s">
        <v>28</v>
      </c>
      <c r="F877" s="38">
        <v>43796</v>
      </c>
      <c r="G877" s="44">
        <v>14399.1</v>
      </c>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10"/>
      <c r="AG877" s="5"/>
    </row>
    <row r="878" spans="2:33" x14ac:dyDescent="0.25">
      <c r="B878" s="33" t="s">
        <v>14</v>
      </c>
      <c r="C878" s="34" t="s">
        <v>27</v>
      </c>
      <c r="D878" s="34" t="s">
        <v>7</v>
      </c>
      <c r="E878" s="34" t="s">
        <v>31</v>
      </c>
      <c r="F878" s="35">
        <v>43800</v>
      </c>
      <c r="G878" s="43">
        <v>681.9</v>
      </c>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10"/>
      <c r="AG878" s="5"/>
    </row>
    <row r="879" spans="2:33" x14ac:dyDescent="0.25">
      <c r="B879" s="36" t="s">
        <v>15</v>
      </c>
      <c r="C879" s="37" t="s">
        <v>27</v>
      </c>
      <c r="D879" s="37" t="s">
        <v>22</v>
      </c>
      <c r="E879" s="37" t="s">
        <v>30</v>
      </c>
      <c r="F879" s="38">
        <v>43801</v>
      </c>
      <c r="G879" s="44">
        <v>3068.5499999999997</v>
      </c>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10"/>
      <c r="AG879" s="5"/>
    </row>
    <row r="880" spans="2:33" x14ac:dyDescent="0.25">
      <c r="B880" s="33" t="s">
        <v>12</v>
      </c>
      <c r="C880" s="34" t="s">
        <v>26</v>
      </c>
      <c r="D880" s="34" t="s">
        <v>22</v>
      </c>
      <c r="E880" s="34" t="s">
        <v>32</v>
      </c>
      <c r="F880" s="35">
        <v>43801</v>
      </c>
      <c r="G880" s="43">
        <v>11999.25</v>
      </c>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10"/>
      <c r="AG880" s="5"/>
    </row>
    <row r="881" spans="2:33" x14ac:dyDescent="0.25">
      <c r="B881" s="36" t="s">
        <v>14</v>
      </c>
      <c r="C881" s="37" t="s">
        <v>34</v>
      </c>
      <c r="D881" s="37" t="s">
        <v>7</v>
      </c>
      <c r="E881" s="37" t="s">
        <v>30</v>
      </c>
      <c r="F881" s="38">
        <v>43803</v>
      </c>
      <c r="G881" s="44">
        <v>3068.5499999999997</v>
      </c>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10"/>
      <c r="AG881" s="5"/>
    </row>
    <row r="882" spans="2:33" x14ac:dyDescent="0.25">
      <c r="B882" s="33" t="s">
        <v>11</v>
      </c>
      <c r="C882" s="34" t="s">
        <v>27</v>
      </c>
      <c r="D882" s="34" t="s">
        <v>9</v>
      </c>
      <c r="E882" s="34" t="s">
        <v>32</v>
      </c>
      <c r="F882" s="35">
        <v>43803</v>
      </c>
      <c r="G882" s="43">
        <v>4432.3499999999995</v>
      </c>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10"/>
      <c r="AG882" s="5"/>
    </row>
    <row r="883" spans="2:33" x14ac:dyDescent="0.25">
      <c r="B883" s="36" t="s">
        <v>12</v>
      </c>
      <c r="C883" s="37" t="s">
        <v>24</v>
      </c>
      <c r="D883" s="37" t="s">
        <v>22</v>
      </c>
      <c r="E883" s="37" t="s">
        <v>31</v>
      </c>
      <c r="F883" s="38">
        <v>43803</v>
      </c>
      <c r="G883" s="44">
        <v>399.95</v>
      </c>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10"/>
      <c r="AG883" s="5"/>
    </row>
    <row r="884" spans="2:33" x14ac:dyDescent="0.25">
      <c r="B884" s="33" t="s">
        <v>11</v>
      </c>
      <c r="C884" s="34" t="s">
        <v>27</v>
      </c>
      <c r="D884" s="34" t="s">
        <v>9</v>
      </c>
      <c r="E884" s="34" t="s">
        <v>28</v>
      </c>
      <c r="F884" s="35">
        <v>43804</v>
      </c>
      <c r="G884" s="43">
        <v>4432.3499999999995</v>
      </c>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10"/>
      <c r="AG884" s="5"/>
    </row>
    <row r="885" spans="2:33" x14ac:dyDescent="0.25">
      <c r="B885" s="36" t="s">
        <v>15</v>
      </c>
      <c r="C885" s="37" t="s">
        <v>27</v>
      </c>
      <c r="D885" s="37" t="s">
        <v>22</v>
      </c>
      <c r="E885" s="37" t="s">
        <v>30</v>
      </c>
      <c r="F885" s="38">
        <v>43805</v>
      </c>
      <c r="G885" s="44">
        <v>4091.3999999999996</v>
      </c>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10"/>
      <c r="AG885" s="5"/>
    </row>
    <row r="886" spans="2:33" x14ac:dyDescent="0.25">
      <c r="B886" s="33" t="s">
        <v>17</v>
      </c>
      <c r="C886" s="34" t="s">
        <v>25</v>
      </c>
      <c r="D886" s="34" t="s">
        <v>9</v>
      </c>
      <c r="E886" s="34" t="s">
        <v>29</v>
      </c>
      <c r="F886" s="35">
        <v>43805</v>
      </c>
      <c r="G886" s="43">
        <v>2534.25</v>
      </c>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10"/>
      <c r="AG886" s="5"/>
    </row>
    <row r="887" spans="2:33" x14ac:dyDescent="0.25">
      <c r="B887" s="36" t="s">
        <v>20</v>
      </c>
      <c r="C887" s="37" t="s">
        <v>27</v>
      </c>
      <c r="D887" s="37" t="s">
        <v>7</v>
      </c>
      <c r="E887" s="37" t="s">
        <v>30</v>
      </c>
      <c r="F887" s="38">
        <v>43808</v>
      </c>
      <c r="G887" s="44">
        <v>2386.65</v>
      </c>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10"/>
      <c r="AG887" s="5"/>
    </row>
    <row r="888" spans="2:33" x14ac:dyDescent="0.25">
      <c r="B888" s="33" t="s">
        <v>15</v>
      </c>
      <c r="C888" s="34" t="s">
        <v>26</v>
      </c>
      <c r="D888" s="34" t="s">
        <v>22</v>
      </c>
      <c r="E888" s="34" t="s">
        <v>30</v>
      </c>
      <c r="F888" s="35">
        <v>43809</v>
      </c>
      <c r="G888" s="43">
        <v>3999.75</v>
      </c>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10"/>
      <c r="AG888" s="5"/>
    </row>
    <row r="889" spans="2:33" x14ac:dyDescent="0.25">
      <c r="B889" s="36" t="s">
        <v>11</v>
      </c>
      <c r="C889" s="37" t="s">
        <v>26</v>
      </c>
      <c r="D889" s="37" t="s">
        <v>9</v>
      </c>
      <c r="E889" s="37" t="s">
        <v>30</v>
      </c>
      <c r="F889" s="38">
        <v>43810</v>
      </c>
      <c r="G889" s="44">
        <v>11199.300000000001</v>
      </c>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10"/>
      <c r="AG889" s="5"/>
    </row>
    <row r="890" spans="2:33" x14ac:dyDescent="0.25">
      <c r="B890" s="33" t="s">
        <v>17</v>
      </c>
      <c r="C890" s="34" t="s">
        <v>24</v>
      </c>
      <c r="D890" s="34" t="s">
        <v>9</v>
      </c>
      <c r="E890" s="34" t="s">
        <v>30</v>
      </c>
      <c r="F890" s="35">
        <v>43810</v>
      </c>
      <c r="G890" s="43">
        <v>1199.8499999999999</v>
      </c>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10"/>
      <c r="AG890" s="5"/>
    </row>
    <row r="891" spans="2:33" x14ac:dyDescent="0.25">
      <c r="B891" s="36" t="s">
        <v>15</v>
      </c>
      <c r="C891" s="37" t="s">
        <v>27</v>
      </c>
      <c r="D891" s="37" t="s">
        <v>22</v>
      </c>
      <c r="E891" s="37" t="s">
        <v>32</v>
      </c>
      <c r="F891" s="38">
        <v>43810</v>
      </c>
      <c r="G891" s="44">
        <v>3750.45</v>
      </c>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10"/>
      <c r="AG891" s="5"/>
    </row>
    <row r="892" spans="2:33" x14ac:dyDescent="0.25">
      <c r="B892" s="33" t="s">
        <v>11</v>
      </c>
      <c r="C892" s="34" t="s">
        <v>25</v>
      </c>
      <c r="D892" s="34" t="s">
        <v>9</v>
      </c>
      <c r="E892" s="34" t="s">
        <v>30</v>
      </c>
      <c r="F892" s="35">
        <v>43811</v>
      </c>
      <c r="G892" s="43">
        <v>2027.3999999999999</v>
      </c>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10"/>
      <c r="AG892" s="5"/>
    </row>
    <row r="893" spans="2:33" x14ac:dyDescent="0.25">
      <c r="B893" s="36" t="s">
        <v>19</v>
      </c>
      <c r="C893" s="37" t="s">
        <v>34</v>
      </c>
      <c r="D893" s="37" t="s">
        <v>22</v>
      </c>
      <c r="E893" s="37" t="s">
        <v>28</v>
      </c>
      <c r="F893" s="38">
        <v>43812</v>
      </c>
      <c r="G893" s="44">
        <v>3750.45</v>
      </c>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10"/>
      <c r="AG893" s="5"/>
    </row>
    <row r="894" spans="2:33" x14ac:dyDescent="0.25">
      <c r="B894" s="33" t="s">
        <v>17</v>
      </c>
      <c r="C894" s="34" t="s">
        <v>25</v>
      </c>
      <c r="D894" s="34" t="s">
        <v>9</v>
      </c>
      <c r="E894" s="34" t="s">
        <v>28</v>
      </c>
      <c r="F894" s="35">
        <v>43812</v>
      </c>
      <c r="G894" s="43">
        <v>1013.6999999999999</v>
      </c>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10"/>
      <c r="AG894" s="5"/>
    </row>
    <row r="895" spans="2:33" x14ac:dyDescent="0.25">
      <c r="B895" s="36" t="s">
        <v>19</v>
      </c>
      <c r="C895" s="37" t="s">
        <v>34</v>
      </c>
      <c r="D895" s="37" t="s">
        <v>22</v>
      </c>
      <c r="E895" s="37" t="s">
        <v>29</v>
      </c>
      <c r="F895" s="38">
        <v>43812</v>
      </c>
      <c r="G895" s="44">
        <v>4773.3</v>
      </c>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10"/>
      <c r="AG895" s="5"/>
    </row>
    <row r="896" spans="2:33" x14ac:dyDescent="0.25">
      <c r="B896" s="33" t="s">
        <v>14</v>
      </c>
      <c r="C896" s="34" t="s">
        <v>27</v>
      </c>
      <c r="D896" s="34" t="s">
        <v>7</v>
      </c>
      <c r="E896" s="34" t="s">
        <v>28</v>
      </c>
      <c r="F896" s="35">
        <v>43814</v>
      </c>
      <c r="G896" s="43">
        <v>4432.3499999999995</v>
      </c>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10"/>
      <c r="AG896" s="5"/>
    </row>
    <row r="897" spans="2:33" x14ac:dyDescent="0.25">
      <c r="B897" s="36" t="s">
        <v>17</v>
      </c>
      <c r="C897" s="37" t="s">
        <v>25</v>
      </c>
      <c r="D897" s="37" t="s">
        <v>9</v>
      </c>
      <c r="E897" s="37" t="s">
        <v>32</v>
      </c>
      <c r="F897" s="38">
        <v>43814</v>
      </c>
      <c r="G897" s="44">
        <v>1013.6999999999999</v>
      </c>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10"/>
      <c r="AG897" s="5"/>
    </row>
    <row r="898" spans="2:33" x14ac:dyDescent="0.25">
      <c r="B898" s="33" t="s">
        <v>20</v>
      </c>
      <c r="C898" s="34" t="s">
        <v>25</v>
      </c>
      <c r="D898" s="34" t="s">
        <v>7</v>
      </c>
      <c r="E898" s="34" t="s">
        <v>30</v>
      </c>
      <c r="F898" s="35">
        <v>43815</v>
      </c>
      <c r="G898" s="43">
        <v>675.8</v>
      </c>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10"/>
      <c r="AG898" s="5"/>
    </row>
    <row r="899" spans="2:33" x14ac:dyDescent="0.25">
      <c r="B899" s="36" t="s">
        <v>12</v>
      </c>
      <c r="C899" s="37" t="s">
        <v>27</v>
      </c>
      <c r="D899" s="37" t="s">
        <v>22</v>
      </c>
      <c r="E899" s="37" t="s">
        <v>28</v>
      </c>
      <c r="F899" s="38">
        <v>43815</v>
      </c>
      <c r="G899" s="44">
        <v>3750.45</v>
      </c>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10"/>
      <c r="AG899" s="5"/>
    </row>
    <row r="900" spans="2:33" x14ac:dyDescent="0.25">
      <c r="B900" s="33" t="s">
        <v>14</v>
      </c>
      <c r="C900" s="34" t="s">
        <v>25</v>
      </c>
      <c r="D900" s="34" t="s">
        <v>7</v>
      </c>
      <c r="E900" s="34" t="s">
        <v>32</v>
      </c>
      <c r="F900" s="35">
        <v>43815</v>
      </c>
      <c r="G900" s="43">
        <v>1182.6499999999999</v>
      </c>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10"/>
      <c r="AG900" s="5"/>
    </row>
    <row r="901" spans="2:33" x14ac:dyDescent="0.25">
      <c r="B901" s="36" t="s">
        <v>19</v>
      </c>
      <c r="C901" s="37" t="s">
        <v>27</v>
      </c>
      <c r="D901" s="37" t="s">
        <v>22</v>
      </c>
      <c r="E901" s="37" t="s">
        <v>29</v>
      </c>
      <c r="F901" s="38">
        <v>43815</v>
      </c>
      <c r="G901" s="44">
        <v>1704.75</v>
      </c>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10"/>
      <c r="AG901" s="5"/>
    </row>
    <row r="902" spans="2:33" x14ac:dyDescent="0.25">
      <c r="B902" s="33" t="s">
        <v>15</v>
      </c>
      <c r="C902" s="34" t="s">
        <v>25</v>
      </c>
      <c r="D902" s="34" t="s">
        <v>22</v>
      </c>
      <c r="E902" s="34" t="s">
        <v>31</v>
      </c>
      <c r="F902" s="35">
        <v>43815</v>
      </c>
      <c r="G902" s="43">
        <v>844.75</v>
      </c>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10"/>
      <c r="AG902" s="5"/>
    </row>
    <row r="903" spans="2:33" x14ac:dyDescent="0.25">
      <c r="B903" s="36" t="s">
        <v>15</v>
      </c>
      <c r="C903" s="37" t="s">
        <v>34</v>
      </c>
      <c r="D903" s="37" t="s">
        <v>22</v>
      </c>
      <c r="E903" s="37" t="s">
        <v>28</v>
      </c>
      <c r="F903" s="38">
        <v>43816</v>
      </c>
      <c r="G903" s="44">
        <v>2727.6</v>
      </c>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10"/>
      <c r="AG903" s="5"/>
    </row>
    <row r="904" spans="2:33" x14ac:dyDescent="0.25">
      <c r="B904" s="33" t="s">
        <v>10</v>
      </c>
      <c r="C904" s="34" t="s">
        <v>34</v>
      </c>
      <c r="D904" s="34" t="s">
        <v>8</v>
      </c>
      <c r="E904" s="34" t="s">
        <v>28</v>
      </c>
      <c r="F904" s="35">
        <v>43821</v>
      </c>
      <c r="G904" s="43">
        <v>4091.3999999999996</v>
      </c>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10"/>
      <c r="AG904" s="5"/>
    </row>
    <row r="905" spans="2:33" x14ac:dyDescent="0.25">
      <c r="B905" s="36" t="s">
        <v>17</v>
      </c>
      <c r="C905" s="37" t="s">
        <v>27</v>
      </c>
      <c r="D905" s="37" t="s">
        <v>9</v>
      </c>
      <c r="E905" s="37" t="s">
        <v>29</v>
      </c>
      <c r="F905" s="38">
        <v>43821</v>
      </c>
      <c r="G905" s="44">
        <v>4091.3999999999996</v>
      </c>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10"/>
      <c r="AG905" s="5"/>
    </row>
    <row r="906" spans="2:33" x14ac:dyDescent="0.25">
      <c r="B906" s="33" t="s">
        <v>14</v>
      </c>
      <c r="C906" s="34" t="s">
        <v>26</v>
      </c>
      <c r="D906" s="34" t="s">
        <v>7</v>
      </c>
      <c r="E906" s="34" t="s">
        <v>29</v>
      </c>
      <c r="F906" s="35">
        <v>43821</v>
      </c>
      <c r="G906" s="43">
        <v>2399.8500000000004</v>
      </c>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10"/>
      <c r="AG906" s="5"/>
    </row>
    <row r="907" spans="2:33" x14ac:dyDescent="0.25">
      <c r="B907" s="36" t="s">
        <v>14</v>
      </c>
      <c r="C907" s="37" t="s">
        <v>27</v>
      </c>
      <c r="D907" s="37" t="s">
        <v>7</v>
      </c>
      <c r="E907" s="37" t="s">
        <v>29</v>
      </c>
      <c r="F907" s="38">
        <v>43821</v>
      </c>
      <c r="G907" s="44">
        <v>5114.25</v>
      </c>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10"/>
      <c r="AG907" s="5"/>
    </row>
    <row r="908" spans="2:33" x14ac:dyDescent="0.25">
      <c r="B908" s="33" t="s">
        <v>12</v>
      </c>
      <c r="C908" s="34" t="s">
        <v>24</v>
      </c>
      <c r="D908" s="34" t="s">
        <v>22</v>
      </c>
      <c r="E908" s="34" t="s">
        <v>30</v>
      </c>
      <c r="F908" s="35">
        <v>43822</v>
      </c>
      <c r="G908" s="43">
        <v>559.92999999999995</v>
      </c>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10"/>
      <c r="AG908" s="5"/>
    </row>
    <row r="909" spans="2:33" x14ac:dyDescent="0.25">
      <c r="B909" s="36" t="s">
        <v>20</v>
      </c>
      <c r="C909" s="37" t="s">
        <v>27</v>
      </c>
      <c r="D909" s="37" t="s">
        <v>7</v>
      </c>
      <c r="E909" s="37" t="s">
        <v>28</v>
      </c>
      <c r="F909" s="38">
        <v>43822</v>
      </c>
      <c r="G909" s="44">
        <v>6819</v>
      </c>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10"/>
      <c r="AG909" s="5"/>
    </row>
    <row r="910" spans="2:33" x14ac:dyDescent="0.25">
      <c r="B910" s="33" t="s">
        <v>14</v>
      </c>
      <c r="C910" s="34" t="s">
        <v>26</v>
      </c>
      <c r="D910" s="34" t="s">
        <v>7</v>
      </c>
      <c r="E910" s="34" t="s">
        <v>28</v>
      </c>
      <c r="F910" s="35">
        <v>43822</v>
      </c>
      <c r="G910" s="43">
        <v>7199.55</v>
      </c>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10"/>
      <c r="AG910" s="5"/>
    </row>
    <row r="911" spans="2:33" x14ac:dyDescent="0.25">
      <c r="B911" s="36" t="s">
        <v>19</v>
      </c>
      <c r="C911" s="37" t="s">
        <v>25</v>
      </c>
      <c r="D911" s="37" t="s">
        <v>22</v>
      </c>
      <c r="E911" s="37" t="s">
        <v>30</v>
      </c>
      <c r="F911" s="38">
        <v>43823</v>
      </c>
      <c r="G911" s="44">
        <v>506.84999999999997</v>
      </c>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10"/>
      <c r="AG911" s="5"/>
    </row>
    <row r="912" spans="2:33" x14ac:dyDescent="0.25">
      <c r="B912" s="33" t="s">
        <v>11</v>
      </c>
      <c r="C912" s="34" t="s">
        <v>34</v>
      </c>
      <c r="D912" s="34" t="s">
        <v>9</v>
      </c>
      <c r="E912" s="34" t="s">
        <v>28</v>
      </c>
      <c r="F912" s="35">
        <v>43823</v>
      </c>
      <c r="G912" s="43">
        <v>6137.0999999999995</v>
      </c>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10"/>
      <c r="AG912" s="5"/>
    </row>
    <row r="913" spans="2:33" x14ac:dyDescent="0.25">
      <c r="B913" s="36" t="s">
        <v>11</v>
      </c>
      <c r="C913" s="37" t="s">
        <v>27</v>
      </c>
      <c r="D913" s="37" t="s">
        <v>9</v>
      </c>
      <c r="E913" s="37" t="s">
        <v>32</v>
      </c>
      <c r="F913" s="38">
        <v>43823</v>
      </c>
      <c r="G913" s="44">
        <v>4091.3999999999996</v>
      </c>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10"/>
      <c r="AG913" s="5"/>
    </row>
    <row r="914" spans="2:33" x14ac:dyDescent="0.25">
      <c r="B914" s="33" t="s">
        <v>12</v>
      </c>
      <c r="C914" s="34" t="s">
        <v>27</v>
      </c>
      <c r="D914" s="34" t="s">
        <v>22</v>
      </c>
      <c r="E914" s="34" t="s">
        <v>31</v>
      </c>
      <c r="F914" s="35">
        <v>43823</v>
      </c>
      <c r="G914" s="43">
        <v>5114.25</v>
      </c>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10"/>
      <c r="AG914" s="5"/>
    </row>
    <row r="915" spans="2:33" x14ac:dyDescent="0.25">
      <c r="B915" s="36" t="s">
        <v>10</v>
      </c>
      <c r="C915" s="37" t="s">
        <v>24</v>
      </c>
      <c r="D915" s="37" t="s">
        <v>8</v>
      </c>
      <c r="E915" s="37" t="s">
        <v>30</v>
      </c>
      <c r="F915" s="38">
        <v>43824</v>
      </c>
      <c r="G915" s="44">
        <v>879.89</v>
      </c>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10"/>
      <c r="AG915" s="5"/>
    </row>
    <row r="916" spans="2:33" x14ac:dyDescent="0.25">
      <c r="B916" s="33" t="s">
        <v>17</v>
      </c>
      <c r="C916" s="34" t="s">
        <v>25</v>
      </c>
      <c r="D916" s="34" t="s">
        <v>9</v>
      </c>
      <c r="E916" s="34" t="s">
        <v>29</v>
      </c>
      <c r="F916" s="35">
        <v>43829</v>
      </c>
      <c r="G916" s="43">
        <v>1351.6</v>
      </c>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10"/>
      <c r="AG916" s="5"/>
    </row>
    <row r="917" spans="2:33" x14ac:dyDescent="0.25">
      <c r="B917" s="39" t="s">
        <v>14</v>
      </c>
      <c r="C917" s="40" t="s">
        <v>34</v>
      </c>
      <c r="D917" s="40" t="s">
        <v>7</v>
      </c>
      <c r="E917" s="40" t="s">
        <v>29</v>
      </c>
      <c r="F917" s="41">
        <v>43829</v>
      </c>
      <c r="G917" s="45">
        <v>4773.3</v>
      </c>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10"/>
      <c r="AG917" s="5"/>
    </row>
    <row r="918" spans="2:33" x14ac:dyDescent="0.25">
      <c r="F918" s="14"/>
      <c r="H918" s="5"/>
    </row>
  </sheetData>
  <mergeCells count="1">
    <mergeCell ref="B6: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B4" sqref="B4"/>
    </sheetView>
  </sheetViews>
  <sheetFormatPr defaultRowHeight="12" x14ac:dyDescent="0.2"/>
  <cols>
    <col min="1" max="1" width="14.1640625" bestFit="1" customWidth="1"/>
    <col min="2" max="2" width="18.5" bestFit="1" customWidth="1"/>
  </cols>
  <sheetData>
    <row r="3" spans="1:2" x14ac:dyDescent="0.2">
      <c r="A3" s="47" t="s">
        <v>35</v>
      </c>
      <c r="B3" t="s">
        <v>37</v>
      </c>
    </row>
    <row r="4" spans="1:2" x14ac:dyDescent="0.2">
      <c r="A4" s="50" t="s">
        <v>38</v>
      </c>
      <c r="B4" s="49">
        <v>263177.19000000018</v>
      </c>
    </row>
    <row r="5" spans="1:2" x14ac:dyDescent="0.2">
      <c r="A5" s="50" t="s">
        <v>39</v>
      </c>
      <c r="B5" s="49">
        <v>247068.96</v>
      </c>
    </row>
    <row r="6" spans="1:2" x14ac:dyDescent="0.2">
      <c r="A6" s="50" t="s">
        <v>40</v>
      </c>
      <c r="B6" s="49">
        <v>176984.47999999995</v>
      </c>
    </row>
    <row r="7" spans="1:2" x14ac:dyDescent="0.2">
      <c r="A7" s="50" t="s">
        <v>41</v>
      </c>
      <c r="B7" s="49">
        <v>222086.92999999996</v>
      </c>
    </row>
    <row r="8" spans="1:2" x14ac:dyDescent="0.2">
      <c r="A8" s="50" t="s">
        <v>42</v>
      </c>
      <c r="B8" s="49">
        <v>258158.80999999997</v>
      </c>
    </row>
    <row r="9" spans="1:2" x14ac:dyDescent="0.2">
      <c r="A9" s="50" t="s">
        <v>43</v>
      </c>
      <c r="B9" s="49">
        <v>252742.59000000005</v>
      </c>
    </row>
    <row r="10" spans="1:2" x14ac:dyDescent="0.2">
      <c r="A10" s="50" t="s">
        <v>44</v>
      </c>
      <c r="B10" s="49">
        <v>213940.99</v>
      </c>
    </row>
    <row r="11" spans="1:2" x14ac:dyDescent="0.2">
      <c r="A11" s="50" t="s">
        <v>45</v>
      </c>
      <c r="B11" s="49">
        <v>204312.49000000008</v>
      </c>
    </row>
    <row r="12" spans="1:2" x14ac:dyDescent="0.2">
      <c r="A12" s="50" t="s">
        <v>46</v>
      </c>
      <c r="B12" s="49">
        <v>234872.34000000005</v>
      </c>
    </row>
    <row r="13" spans="1:2" x14ac:dyDescent="0.2">
      <c r="A13" s="50" t="s">
        <v>47</v>
      </c>
      <c r="B13" s="49">
        <v>204505.66000000012</v>
      </c>
    </row>
    <row r="14" spans="1:2" x14ac:dyDescent="0.2">
      <c r="A14" s="50" t="s">
        <v>48</v>
      </c>
      <c r="B14" s="49">
        <v>272237.13000000006</v>
      </c>
    </row>
    <row r="15" spans="1:2" x14ac:dyDescent="0.2">
      <c r="A15" s="50" t="s">
        <v>49</v>
      </c>
      <c r="B15" s="49">
        <v>281578.09999999998</v>
      </c>
    </row>
    <row r="16" spans="1:2" x14ac:dyDescent="0.2">
      <c r="A16" s="50" t="s">
        <v>36</v>
      </c>
      <c r="B16" s="49">
        <v>2831665.6700000004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P10" sqref="P10"/>
    </sheetView>
  </sheetViews>
  <sheetFormatPr defaultRowHeight="12" x14ac:dyDescent="0.2"/>
  <cols>
    <col min="1" max="1" width="14.1640625" bestFit="1" customWidth="1"/>
    <col min="2" max="2" width="18.5" bestFit="1" customWidth="1"/>
  </cols>
  <sheetData>
    <row r="3" spans="1:2" x14ac:dyDescent="0.2">
      <c r="A3" s="47" t="s">
        <v>35</v>
      </c>
      <c r="B3" t="s">
        <v>37</v>
      </c>
    </row>
    <row r="4" spans="1:2" x14ac:dyDescent="0.2">
      <c r="A4" s="48" t="s">
        <v>9</v>
      </c>
      <c r="B4" s="49">
        <v>424218.40999999974</v>
      </c>
    </row>
    <row r="5" spans="1:2" x14ac:dyDescent="0.2">
      <c r="A5" s="48" t="s">
        <v>8</v>
      </c>
      <c r="B5" s="49">
        <v>457742.5</v>
      </c>
    </row>
    <row r="6" spans="1:2" x14ac:dyDescent="0.2">
      <c r="A6" s="48" t="s">
        <v>7</v>
      </c>
      <c r="B6" s="49">
        <v>951068.44999999972</v>
      </c>
    </row>
    <row r="7" spans="1:2" x14ac:dyDescent="0.2">
      <c r="A7" s="48" t="s">
        <v>22</v>
      </c>
      <c r="B7" s="49">
        <v>998636.30999999959</v>
      </c>
    </row>
    <row r="8" spans="1:2" x14ac:dyDescent="0.2">
      <c r="A8" s="48" t="s">
        <v>36</v>
      </c>
      <c r="B8" s="49">
        <v>2831665.669999999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18" sqref="B18"/>
    </sheetView>
  </sheetViews>
  <sheetFormatPr defaultRowHeight="12" x14ac:dyDescent="0.2"/>
  <cols>
    <col min="1" max="1" width="14.1640625" customWidth="1"/>
    <col min="2" max="2" width="18.5" customWidth="1"/>
    <col min="3" max="3" width="18.5" bestFit="1" customWidth="1"/>
  </cols>
  <sheetData>
    <row r="3" spans="1:2" x14ac:dyDescent="0.2">
      <c r="A3" s="47" t="s">
        <v>35</v>
      </c>
      <c r="B3" t="s">
        <v>37</v>
      </c>
    </row>
    <row r="4" spans="1:2" x14ac:dyDescent="0.2">
      <c r="A4" s="48" t="s">
        <v>31</v>
      </c>
      <c r="B4" s="49">
        <v>464415.52999999968</v>
      </c>
    </row>
    <row r="5" spans="1:2" x14ac:dyDescent="0.2">
      <c r="A5" s="48" t="s">
        <v>32</v>
      </c>
      <c r="B5" s="49">
        <v>470054.88999999996</v>
      </c>
    </row>
    <row r="6" spans="1:2" x14ac:dyDescent="0.2">
      <c r="A6" s="48" t="s">
        <v>30</v>
      </c>
      <c r="B6" s="49">
        <v>478552.6399999999</v>
      </c>
    </row>
    <row r="7" spans="1:2" x14ac:dyDescent="0.2">
      <c r="A7" s="48" t="s">
        <v>29</v>
      </c>
      <c r="B7" s="49">
        <v>501135.60999999969</v>
      </c>
    </row>
    <row r="8" spans="1:2" x14ac:dyDescent="0.2">
      <c r="A8" s="48" t="s">
        <v>28</v>
      </c>
      <c r="B8" s="49">
        <v>917506.99999999988</v>
      </c>
    </row>
    <row r="9" spans="1:2" x14ac:dyDescent="0.2">
      <c r="A9" s="48" t="s">
        <v>36</v>
      </c>
      <c r="B9" s="49">
        <v>2831665.669999999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C19" sqref="C19"/>
    </sheetView>
  </sheetViews>
  <sheetFormatPr defaultRowHeight="12" x14ac:dyDescent="0.2"/>
  <cols>
    <col min="1" max="1" width="17.5" customWidth="1"/>
    <col min="2" max="2" width="18.5" customWidth="1"/>
  </cols>
  <sheetData>
    <row r="3" spans="1:2" x14ac:dyDescent="0.2">
      <c r="A3" s="47" t="s">
        <v>35</v>
      </c>
      <c r="B3" t="s">
        <v>37</v>
      </c>
    </row>
    <row r="4" spans="1:2" x14ac:dyDescent="0.2">
      <c r="A4" s="48" t="s">
        <v>26</v>
      </c>
      <c r="B4" s="49">
        <v>1343116.0500000005</v>
      </c>
    </row>
    <row r="5" spans="1:2" x14ac:dyDescent="0.2">
      <c r="A5" s="48" t="s">
        <v>27</v>
      </c>
      <c r="B5" s="49">
        <v>618824.24999999965</v>
      </c>
    </row>
    <row r="6" spans="1:2" x14ac:dyDescent="0.2">
      <c r="A6" s="48" t="s">
        <v>34</v>
      </c>
      <c r="B6" s="49">
        <v>478352.85000000003</v>
      </c>
    </row>
    <row r="7" spans="1:2" x14ac:dyDescent="0.2">
      <c r="A7" s="48" t="s">
        <v>25</v>
      </c>
      <c r="B7" s="49">
        <v>272347.40000000014</v>
      </c>
    </row>
    <row r="8" spans="1:2" x14ac:dyDescent="0.2">
      <c r="A8" s="48" t="s">
        <v>24</v>
      </c>
      <c r="B8" s="49">
        <v>119025.12000000004</v>
      </c>
    </row>
    <row r="9" spans="1:2" x14ac:dyDescent="0.2">
      <c r="A9" s="48" t="s">
        <v>36</v>
      </c>
      <c r="B9" s="49">
        <v>2831665.6700000004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O23" sqref="O23"/>
    </sheetView>
  </sheetViews>
  <sheetFormatPr defaultRowHeight="12" x14ac:dyDescent="0.2"/>
  <cols>
    <col min="1" max="1" width="18.33203125" bestFit="1" customWidth="1"/>
    <col min="2" max="2" width="18.5" bestFit="1" customWidth="1"/>
  </cols>
  <sheetData>
    <row r="3" spans="1:2" x14ac:dyDescent="0.2">
      <c r="A3" s="47" t="s">
        <v>35</v>
      </c>
      <c r="B3" t="s">
        <v>37</v>
      </c>
    </row>
    <row r="4" spans="1:2" x14ac:dyDescent="0.2">
      <c r="A4" s="48" t="s">
        <v>20</v>
      </c>
      <c r="B4" s="49">
        <v>209208.75999999995</v>
      </c>
    </row>
    <row r="5" spans="1:2" x14ac:dyDescent="0.2">
      <c r="A5" s="48" t="s">
        <v>19</v>
      </c>
      <c r="B5" s="49">
        <v>204828.36000000004</v>
      </c>
    </row>
    <row r="6" spans="1:2" x14ac:dyDescent="0.2">
      <c r="A6" s="48" t="s">
        <v>18</v>
      </c>
      <c r="B6" s="49">
        <v>241683.05000000002</v>
      </c>
    </row>
    <row r="7" spans="1:2" x14ac:dyDescent="0.2">
      <c r="A7" s="48" t="s">
        <v>17</v>
      </c>
      <c r="B7" s="49">
        <v>222209.90000000005</v>
      </c>
    </row>
    <row r="8" spans="1:2" x14ac:dyDescent="0.2">
      <c r="A8" s="48" t="s">
        <v>10</v>
      </c>
      <c r="B8" s="49">
        <v>252220.82000000007</v>
      </c>
    </row>
    <row r="9" spans="1:2" x14ac:dyDescent="0.2">
      <c r="A9" s="48" t="s">
        <v>11</v>
      </c>
      <c r="B9" s="49">
        <v>202008.51000000004</v>
      </c>
    </row>
    <row r="10" spans="1:2" x14ac:dyDescent="0.2">
      <c r="A10" s="48" t="s">
        <v>21</v>
      </c>
      <c r="B10" s="49">
        <v>158470.58000000005</v>
      </c>
    </row>
    <row r="11" spans="1:2" x14ac:dyDescent="0.2">
      <c r="A11" s="48" t="s">
        <v>12</v>
      </c>
      <c r="B11" s="49">
        <v>344415.49999999971</v>
      </c>
    </row>
    <row r="12" spans="1:2" x14ac:dyDescent="0.2">
      <c r="A12" s="48" t="s">
        <v>13</v>
      </c>
      <c r="B12" s="49">
        <v>244128.54999999996</v>
      </c>
    </row>
    <row r="13" spans="1:2" x14ac:dyDescent="0.2">
      <c r="A13" s="48" t="s">
        <v>14</v>
      </c>
      <c r="B13" s="49">
        <v>362436.56</v>
      </c>
    </row>
    <row r="14" spans="1:2" x14ac:dyDescent="0.2">
      <c r="A14" s="48" t="s">
        <v>15</v>
      </c>
      <c r="B14" s="49">
        <v>207709.40000000002</v>
      </c>
    </row>
    <row r="15" spans="1:2" x14ac:dyDescent="0.2">
      <c r="A15" s="48" t="s">
        <v>16</v>
      </c>
      <c r="B15" s="49">
        <v>182345.68</v>
      </c>
    </row>
    <row r="16" spans="1:2" x14ac:dyDescent="0.2">
      <c r="A16" s="48" t="s">
        <v>36</v>
      </c>
      <c r="B16" s="49">
        <v>2831665.67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9"/>
  <sheetViews>
    <sheetView showGridLines="0" tabSelected="1" zoomScale="70" zoomScaleNormal="70" workbookViewId="0">
      <selection activeCell="R43" sqref="R43"/>
    </sheetView>
  </sheetViews>
  <sheetFormatPr defaultColWidth="0" defaultRowHeight="12" zeroHeight="1" x14ac:dyDescent="0.2"/>
  <cols>
    <col min="1" max="1" width="3" style="51" customWidth="1"/>
    <col min="2" max="20" width="9.33203125" style="51" customWidth="1"/>
    <col min="21" max="16384" width="9.33203125" style="51"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sheetData>
  <pageMargins left="0.7" right="0.7" top="0.75" bottom="0.75" header="0.3" footer="0.3"/>
  <pageSetup scale="5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Data</vt:lpstr>
      <vt:lpstr>Summary_Period</vt:lpstr>
      <vt:lpstr>Summary_Region</vt:lpstr>
      <vt:lpstr>Summary_Customer</vt:lpstr>
      <vt:lpstr>Summary_Product</vt:lpstr>
      <vt:lpstr>Summary_Salesperson</vt:lpstr>
      <vt:lpstr>Dashboard</vt:lpstr>
      <vt:lpstr>Data!Extract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ACCOUNTS-GC</dc:creator>
  <cp:lastModifiedBy>Emmanuel Kwabena Mensah</cp:lastModifiedBy>
  <cp:lastPrinted>2020-01-18T13:12:38Z</cp:lastPrinted>
  <dcterms:created xsi:type="dcterms:W3CDTF">2019-10-06T13:00:52Z</dcterms:created>
  <dcterms:modified xsi:type="dcterms:W3CDTF">2021-01-16T12:41:24Z</dcterms:modified>
</cp:coreProperties>
</file>